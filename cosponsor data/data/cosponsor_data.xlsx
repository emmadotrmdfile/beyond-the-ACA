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ponsor Data" sheetId="1" r:id="rId4"/>
    <sheet state="visible" name="Race" sheetId="2" r:id="rId5"/>
  </sheets>
  <definedNames>
    <definedName hidden="1" localSheetId="0" name="_xlnm._FilterDatabase">'Cosponsor Data'!$A$1:$X$1008</definedName>
    <definedName hidden="1" localSheetId="1" name="_xlnm._FilterDatabase">Race!$A$1:$G$991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57">
      <text>
        <t xml:space="preserve">3 people considered middle eastern
	-Emma Huizenga</t>
      </text>
    </comment>
    <comment authorId="0" ref="S52">
      <text>
        <t xml:space="preserve">3 people considered middle eastern
	-Emma Huizenga</t>
      </text>
    </comment>
    <comment authorId="0" ref="D35">
      <text>
        <t xml:space="preserve">House Insurance and Real Estate Committee
	-Emma Huizenga</t>
      </text>
    </comment>
    <comment authorId="0" ref="D34">
      <text>
        <t xml:space="preserve">House Insurance and Real Estate Committee
	-Emma Huizenga</t>
      </text>
    </comment>
    <comment authorId="0" ref="D109">
      <text>
        <t xml:space="preserve">dead https://legiscan.com/MN/bill/HF4211/2023
	-Emma Huizenga</t>
      </text>
    </comment>
    <comment authorId="0" ref="A1">
      <text>
        <t xml:space="preserve">this seem more like non discrim laws
	-Emma Huizenga</t>
      </text>
    </comment>
    <comment authorId="0" ref="A72">
      <text>
        <t xml:space="preserve">might have to eliminate, only found a law doing this in 1980s https://apps.legislature.ky.gov/law/statutes/statute.aspx?id=16769&amp;utm
	-Emma Huizenga</t>
      </text>
    </comment>
  </commentList>
</comments>
</file>

<file path=xl/sharedStrings.xml><?xml version="1.0" encoding="utf-8"?>
<sst xmlns="http://schemas.openxmlformats.org/spreadsheetml/2006/main" count="3219" uniqueCount="982">
  <si>
    <t>state</t>
  </si>
  <si>
    <t>year</t>
  </si>
  <si>
    <t>type</t>
  </si>
  <si>
    <t>source</t>
  </si>
  <si>
    <t>descrip</t>
  </si>
  <si>
    <t>spon_names_raw</t>
  </si>
  <si>
    <t>spon_names_clean</t>
  </si>
  <si>
    <t>spon_total</t>
  </si>
  <si>
    <t>spon_women</t>
  </si>
  <si>
    <t>spon_men</t>
  </si>
  <si>
    <t>spon_trans</t>
  </si>
  <si>
    <t>prop_spon_women</t>
  </si>
  <si>
    <t>spon_white</t>
  </si>
  <si>
    <t>spon_black</t>
  </si>
  <si>
    <t>spon_hispanic</t>
  </si>
  <si>
    <t>spon_asian</t>
  </si>
  <si>
    <t>spon_native</t>
  </si>
  <si>
    <t>spon_islander</t>
  </si>
  <si>
    <t>spon_other</t>
  </si>
  <si>
    <t>spon_minority</t>
  </si>
  <si>
    <t>spon_dem</t>
  </si>
  <si>
    <t>spon_rep</t>
  </si>
  <si>
    <t>spon_thi</t>
  </si>
  <si>
    <t>prop_spon_dem</t>
  </si>
  <si>
    <t>Alabama</t>
  </si>
  <si>
    <t>abor_lim</t>
  </si>
  <si>
    <t>SB 10</t>
  </si>
  <si>
    <t>Prohibits insurance covering abortion services, except in cases of rape, incest, or when the life of the mother is at risk.</t>
  </si>
  <si>
    <t>Sen. Greg Reed [R]</t>
  </si>
  <si>
    <t>Delaware</t>
  </si>
  <si>
    <t>pros_scr</t>
  </si>
  <si>
    <t>HB 302</t>
  </si>
  <si>
    <t>Mandated annual insurance coverage for men 40+.</t>
  </si>
  <si>
    <t>Rep. Stephanie Bolden [D]	Sen. Kyra Hoffner [D]	Rep. William Bush [D]	Rep. Debra Heffernan [D]
Rep. Kendra Johnson [D]	Rep. Sean Lynn [D]	Rep. Eric Morrison [D]	Rep. Stell Parker Selby [D]
Rep. Kimberly Williams [D]	Rep. Madinah Wilson-Anton [D]	Rep. Franklin Cooke [D]	Rep. Edward Osienski [D]
Rep. Kerri Harris [D]	Sen. Russ Huxtable [D]	Sen. David Wilson [R]</t>
  </si>
  <si>
    <t>Kentucky</t>
  </si>
  <si>
    <t>HB 52</t>
  </si>
  <si>
    <t>Mandates insurance coverage of prostate cancer screening.</t>
  </si>
  <si>
    <t>Rep. Deanna Frazier Gordon [R]	Rep. Chad Aull [D]	Rep. Danny Bentley [R]	Rep. Beverly Chester-Burton [D]
Rep. Alan Gentry [D]	Rep. Ruth Palumbo [D]	Rep. Rachel Roarx [D]	Rep. Rachel Roberts [D]
Rep. Sarah Stalker [D]	Rep. Lisa Willner [D]</t>
  </si>
  <si>
    <t>Arizona</t>
  </si>
  <si>
    <t>contra_script</t>
  </si>
  <si>
    <t>SB 1082</t>
  </si>
  <si>
    <t xml:space="preserve">Mandated insurance coverage for FDA-Approved contraceptives with a prescription. </t>
  </si>
  <si>
    <t>Sen. Michelle Ugenti-Rita [R]</t>
  </si>
  <si>
    <t>Arkansas</t>
  </si>
  <si>
    <t>fer_treat</t>
  </si>
  <si>
    <t>SB 213</t>
  </si>
  <si>
    <t xml:space="preserve">Mandates insurance coverage for diagnosis and treatment of infertility and fertility services. </t>
  </si>
  <si>
    <t>Sen. Johnny Key [R]</t>
  </si>
  <si>
    <t>Tennessee</t>
  </si>
  <si>
    <t>HB 2954</t>
  </si>
  <si>
    <t>Rep. G.A. Hardaway [D]	Rep. Sam Whitson [R]	Rep. Jeremy Faison [R]	Rep. Charlie Baum [R]
Rep. Patsy Hazlewood [R]	Rep. Jerome Moon [R]	Rep. Harold Love [D]	Rep. Johnny Shaw [D]
Rep. Karen Camper [D]	Rep. Tim Hicks [R]	Rep. Ed Butler [R]	Rep. Ronnie Glynn [D]
Rep. Joe Towns [D]	Rep. Gloria Johnson [D]	Rep. Clay Doggett [R]	Rep. John Gillespie [R]
Rep. John Ragan [R]	Rep. Andrew Farmer [R]	Rep. Chris Hurt [R]	Rep. Robert Stevens [R]
Rep. Todd Warner [R]	Rep. Mark White [R]	Rep. Sam McKenzie [D]	Rep. Kirk Haston [R]
Rep. Monty Fritts [R]	Rep. Gino Bulso [R]	Rep. Rick Eldridge [R]	Rep. Elaine Davis [R]
Rep. John Clemmons [D]	Rep. Larry Miller [D]	Rep. Jesse Chism [D]	Rep. Jason Powell [D]
Rep. Rebecca Alexander [R]	Rep. Dwayne Thompson [D]	Rep. Vincent Dixie [D]	Rep. Antonio Parkinson [D]
Rep. Sabi Kumar [R]</t>
  </si>
  <si>
    <t>Maine</t>
  </si>
  <si>
    <t>gen_affirm_man</t>
  </si>
  <si>
    <t>LD 277</t>
  </si>
  <si>
    <t>Mandated insurance coverage for gender affirming surgery.</t>
  </si>
  <si>
    <t>Rep. Jessica Fay [D]</t>
  </si>
  <si>
    <t>California</t>
  </si>
  <si>
    <t>SB 923</t>
  </si>
  <si>
    <t>Sen. Scott Wiener [D]	Asm. Cristina Garcia [D]	Sen. Sabrina Cervantes [D]	Asm. Alex Lee [D]
Asm. Evan Low [D]</t>
  </si>
  <si>
    <t>Minnesota</t>
  </si>
  <si>
    <t>SB 4097</t>
  </si>
  <si>
    <t>Sen. Matt Klein [D]</t>
  </si>
  <si>
    <t>New York</t>
  </si>
  <si>
    <t>SB 8058</t>
  </si>
  <si>
    <t>Sen. Brad Hoylman-Sigal [D]	Sen. Samra Brouk [D]	Sen. Leroy Comrie [D]	Sen. Jeremy Cooney [D]
Sen. Nathalia Fernandez [D]	Sen. Michael Gianaris [D]	Sen. Andrew Gounardes [D]	Sen. Michelle Hinchey [D]
Sen. Robert Jackson [D]	Sen. Timothy Kennedy [D]	Sen. Liz Krueger [D]	Sen. John Liu [D]
Sen. Rachel May [D]	Sen. Shelley Mayer [D]	Sen. Kevin Parker [D]	Sen. Jessica Ramos [D]
Sen. Gustavo Rivera [D]	Sen. Luis Sepulveda [D]	Sen. Lea Webb [D]</t>
  </si>
  <si>
    <t>Rhode Island</t>
  </si>
  <si>
    <t>SB 2262</t>
  </si>
  <si>
    <t>Sen. Dawn Euer [D]	Sen. Tiara Mack [D]	Sen. Ryan Pearson [D]	Sen. Alana DiMario [D]
Sen. Joshua Miller [D]	Sen. Susan Sosnowski [D]	Sen. Louis Dipalma [D]	Sen. Mark McKenney [D]
Sen. Melissa Murray [D]	Sen. Frank Lombardi [D]</t>
  </si>
  <si>
    <t>HB 7577</t>
  </si>
  <si>
    <t xml:space="preserve">  Rep. John Edwards [D]	Rep. Rebecca Kislak [D]	Rep. Edith Ajello [D]	Rep. Joseph McNamara [D]
Rep. Katherine Kazarian [D]	Rep. Jason Knight [D]	Rep. Susan Donovan [D]	Rep. Robert Craven [D]
Rep. Hagan McEntee [D]	Rep. Leonela Felix [D]</t>
  </si>
  <si>
    <t>SB 729</t>
  </si>
  <si>
    <t>Sen. Caroline Menjivar [D]        Asm. Buffy Wicks [D]        Asm. Marc Berman [D]        Sen. Sabrina Cervantes [D]
Asm. Matt Haney [D]        Asm. Evan Low [D]        Asm. Gail Pellerin [D]        Sen. Anthony Portantino [D]
Sen. Susan Rubio [D]        Sen. Scott Wiener [D]</t>
  </si>
  <si>
    <t>Illinois</t>
  </si>
  <si>
    <t>SB 773</t>
  </si>
  <si>
    <t xml:space="preserve">Mandates insurance coverage for diagnosis and treatment of infertility services. </t>
  </si>
  <si>
    <t>Sen. Cristina Castro [D]	Sen. Michael Hastings [D]	Sen. Celina Villanueva [D]	Sen. Adriane Johnson [D]
Sen. Suzanne Glowiak Hilton [D]	Sen. Steve Stadelman [D]	Sen. Natalie Toro [D]	Sen. Christopher Belt [D]
Sen. Doris Turner [D]	Sen. Linda Holmes [D]	Sen. Julie Morrison [D]	Sen. Ram Villivalam [D]
Sen. Rachel Ventura [D]	Sen. Sara Feigenholtz [D]	Sen. Meg Loughran Cappel [D]	Sen. David Koehler [D]
Sen. Mike Porfirio [D]	Sen. Mattie Hunter [D]	Sen. Lakesia Collins [D]	Sen. Laura Ellman [D]
Sen. Michael Halpin [D]	Sen. Robert Peters [D]	Sen. Mark Walker [D]	Sen. Paul Faraci [D]
Sen. Laura Murphy [D]	Sen. Mary Edly-Allen [D]	Sen. Mike Simmons [D]	Rep. Margaret Croke [D]
Rep. Terra Costa Howard [D]	Rep. Harry Benton [D]	Rep. Bradley Stephens [R]	Rep. Jehan Gordon-Booth [D]
Rep. Michelle Mussman [D]	Rep. Camille Lilly [D]	Rep. Robyn Gabel [D]	Rep. Jawaharial Williams [D]
Rep. Michael Kelly [D]	Rep. Diane Blair-Sherlock [D]	Rep. Daniel Didech [D]	Rep. Elizabeth Hernandez [D]
Rep. Matt Hanson [D]	Rep. Jenn Ladisch Douglass [D]	Rep. Stephanie Kifowit [D]	Rep. Sue Scherer [D]
Rep. Robert Rita [D]	Rep. Jaime Andrade [D]	Rep. Nicole La Ha [R]	Rep. Patrick Sheehan [R]
Rep. Lilian Jimenez [D]	Rep. Norma Hernandez [D]	Rep. Ann Williams [D]	Rep. Jennifer Gong-Gershowitz [D]
Rep. Katie Stuart [D]	Rep. Janet Yang Rohr [D]	Rep. Anne Stava-Murray [D]	Rep. Angelica Guerrero-Cuellar [D]
Rep. Emanuel Welch [D]	Rep. Bob Morgan [D]</t>
  </si>
  <si>
    <t>Oklahoma</t>
  </si>
  <si>
    <t>SB 1334</t>
  </si>
  <si>
    <t>Sen. Ally Seifried [R]	Rep. Josh West [R]	Rep. Amanda Swope [D]	Rep. Ellyn Hefner [D]
Sen. David Bullard [R]	Sen. Jessica Garvin [R]</t>
  </si>
  <si>
    <t>AB 2119</t>
  </si>
  <si>
    <t>Asm. Todd Gloria [D]	Sen. Scott Wiener [D]</t>
  </si>
  <si>
    <t>SB 232</t>
  </si>
  <si>
    <t>Sen. Kyle Gay [D], Rep. Debra Heffernan [D], Rep. Melissa Minor-Brown [D], Rep. Sherry Dorsey Walker [D], Rep. Krista Griffith [D], Rep. Larry Lambert [D], Sen. Stephanie Hansen [D], Sen. Kyra Hoffner [D], Sen. Russ Huxtable [D], Sen. Sarah McBride [D], Sen. Marie Pinkney [D], Sen. Nicole Poore [D], Rep. Kendra Johnson [D], Rep. Valerie Longhurst [D], Rep. Sean Lynn [D], Rep. Eric Morrison [D], Rep. DeShanna Neal [D], Rep. Cyndie Romer [D]</t>
  </si>
  <si>
    <t>Michigan</t>
  </si>
  <si>
    <t xml:space="preserve">HB 5435 </t>
  </si>
  <si>
    <t xml:space="preserve">Mandated insurance coverage for hormonal contraceptives with a prescription. </t>
  </si>
  <si>
    <t>Rep. Stephanie Young [D], Rep. Kara Hope [D], Rep. Emily Dievendorf [D], Rep. Erin Byrnes [D], Rep. Carol Glanville [D], Rep. Jennifer Conlin [D], Rep. Sharon MacDonell [D], Rep. Alabas Farhat [D], Rep. Julie Brixie [D], Rep. Carrie Rheingans [D], Rep. Mike McFall [D], Rep. Jason Morgan [D], Rep. Natalie Price [D], Rep. Jimmie Wilson [D]</t>
  </si>
  <si>
    <t>contra_otc_wo_script</t>
  </si>
  <si>
    <t xml:space="preserve">
SB 232</t>
  </si>
  <si>
    <t>Mandated insurance coverage for FDA approved over-the-counter contraceptives without prescription.</t>
  </si>
  <si>
    <t>contra_no_share</t>
  </si>
  <si>
    <t>HB 2203</t>
  </si>
  <si>
    <t>No cost sharing for over the counter FDA approved prescription contraceptives.</t>
  </si>
  <si>
    <t>Rep. Poppy Arford [D] Sen. Donna Bailey [D] Rep. Sally Cluchey [D] Sen. Matthea Larsen Daughtry [D], Rep. Raegan LaRochelle [D] Rep. Nina Milliken [D] Rep. Anne Perry [D] Rep. Suzanne Salisbury [D], Sen. Rachel Talbot Ross [D] Sen. Eloise Vitelli [D]</t>
  </si>
  <si>
    <t>Idaho</t>
  </si>
  <si>
    <t>contra_ex_sup</t>
  </si>
  <si>
    <t>SB 1234</t>
  </si>
  <si>
    <t>Mandated insurance coverage for 6-month FDA approved prescription contraceptives.</t>
  </si>
  <si>
    <t>Sen. Jim Guthrie [R], Rep. Ned Burns [D], Sen. Linda Hartgen [R], Rep. Susan Chew [D], Sen. Abby Lee [R], Rep. Chenele Dixon [R], Sen. James Ruchti [D], Rep. Lori McCann [R], Sen. Ron Taylor [D], Rep. Josh Wheeler [R], Sen. Janie Ward-Engelking [D], Rep. Dan Garner [R], Rep. Richard Cheatum [R], Rep. Julie Yamamoto [R], Rep. Christopher Allgood [R], Rep. Jeff Cornilles [R], Rep. Clay Handy [R], Rep. Rod Furniss [R], Rep. Stephanie Mickelsen [R], Rep. John Vander Woude [R], Rep. Kenny Wroten [R], Rep. James Holtzclaw [R]</t>
  </si>
  <si>
    <t>Mandated insurance coverage for 12-month FDA approved prescription contraceptives.</t>
  </si>
  <si>
    <t>Colorado</t>
  </si>
  <si>
    <t>HB 1021</t>
  </si>
  <si>
    <t>Sen. Joyce Foster [D], Rep. Jerry Frangas [D]</t>
  </si>
  <si>
    <t>SB 1919</t>
  </si>
  <si>
    <t>Sen. Raumesh Akbari [D], Sen. London Lamar [D], Sen. Jeff Yarbro [D]</t>
  </si>
  <si>
    <t>HB 1042</t>
  </si>
  <si>
    <t>Mandated annual insurance coverage for men 40+ for prostate screening.</t>
  </si>
  <si>
    <t>Rep. Fred Allen [D]	Sen. David Wallace [R]	Rep. Ken Ferguson [D]	Rep. Milton Nicks [D]
Rep. Jay Richardson [D]	Rep. Carol Dalby [R]	Rep. Lee Johnson [R]	Rep. Jim Wooten [R]
Rep. Karilyn Brown [R]</t>
  </si>
  <si>
    <t>Virginia</t>
  </si>
  <si>
    <t>HB 2038</t>
  </si>
  <si>
    <t>Mandated annual insurance coverage for incapacitated children for prostate screening.</t>
  </si>
  <si>
    <t xml:space="preserve">Del. Irene Shin [D]        Del. Candi Mundon King [D]        Del. Dan Helmer [D]        Del. Michelle Maldonado [D]
Del. Kenneth Plum [D]        Del. David Reid [D]        Del. Holly Seibold [D]        Del. Shelly Simonds [D]
Sen. Suhas Subramanyam [D]                      </t>
  </si>
  <si>
    <t xml:space="preserve">HB 1186 </t>
  </si>
  <si>
    <t>Sen. Brittany Pettersen [D], Rep. Lois Landgraf [R], Sen. Donald Coram [R]</t>
  </si>
  <si>
    <t>Maryland</t>
  </si>
  <si>
    <t>horm_ther</t>
  </si>
  <si>
    <t>SB 460</t>
  </si>
  <si>
    <t>Mandated insurance coverage for hormone therapy, anti-discrimination.</t>
  </si>
  <si>
    <t>Sen. Mary Washington [D]	Sen. Malcolm Augustine [D]	Sen. Sarah Elfreth [D]	Sen. Brian Feldman [D]
Sen. Guy Guzzone [D]	Sen. Shelly Hettleman [D]	Sen. Nancy King [D]	Sen. Benjamin Kramer [D]
Sen. Clarence Lam [D]	Sen. William Smith [D]	Sen. Jeff Waldstreicher [D]	Sen. Craig Zucker [D]
Sen. Arthur Ellis [D]	Sen. Antonio Hayes [D]</t>
  </si>
  <si>
    <t>HB 283</t>
  </si>
  <si>
    <t>Del. Anne Kaiser [D]	Del. Bonnie Cullison [D]	Del. Gabriel Acevero [D]	Del. Nick Allen [D]
Del. Marlon Amprey [D]	Del. Vanessa Atterbeary [D]	Del. Heather Bagnall [D]	Del. Ben Barnes [D]
Del. Kumar Barve [D]	Del. Regina Boyce [D]	Del. Jon Cardin [D]	Del. Lorig Charkoudian [D]
Del. Luke Clippinger [D]	Del. Eric Ebersole [D]	Del. Mark Edelson [D]	Del. Elizabeth Embry [D]
Del. Kris Fair [D]	Del. Jessica Feldmark [D]	Del. Diana Fennell [D]	Del. Linda Foley [D]
Del. Catherine Forbes [D]	Del. David Fraser-hidalgo [D]	Del. Brooke Grossman [D]	Del. Pam Guzzone [D]
Del. Terri Hill [D]	Del. Dana Jones [D]	Del. Aaron Kaufman [D]	Sen. Ariana Kelly [D]
Del. Ken Kerr [D]	Del. Mary Lehman [D]	Del. Robbyn Lewis [D]	Del. Lesley Lopez [D]
Sen. Sara Love [D]	Del. Aletheia McCaskill [D]	Del. Bernice Mireku-North [D]	Del. David Moon [D]
Del. Julie Palakovich Carr [D]	Del. Cheryl Pasteur [D]	Del. Lily Qi [D]	Del. Pamela Queen [D]
Del. Kirill Reznik [D]	Del. Samuel Rosenberg [D]	Del. Sheila Ruth [D]	Del. Emily Shetty [D]
Del. Karen Simpson [D]	Del. Stephanie Smith [D]	Del. Jared Solomon [D]	Del. Dana Stein [D]
Del. Vaughn Stewart [D]	Del. Deni Taveras [D]	Del. Jen Terrasa [D]	Del. Kriselda Valderrama [D]
Del. Joe Vogel [D]	Del. Courtney Watson [D]	Del. Melissa Wells [D]	Del. Jheanelle Wilkins [D]
Del. Natalie Ziegler [D]	Del. Joseline Pena-Melnyk [D]	Del. Jennifer White Holland [D]	Del. Ashanti Martinez [D]</t>
  </si>
  <si>
    <t>SB 345</t>
  </si>
  <si>
    <t>Sen. Nancy Skinner [D]	Asm. Cecilia Aguiar-Curry [D]	Sen. Josh Becker [D]	Sen. Anna Caballero [D]
Sen. Sabrina Cervantes [D]	Asm. Damon Connolly [D]	Sen. Dave Cortese [D]	Sen. Bill Dodd [D]
Asm. Matt Haney [D]	Asm. Ash Kalra [D]	Sen. Mike McGuire [D]	Sen. Caroline Menjivar [D]
Sen. Dave Min [D]	Sen. Steve Padilla [D]	Asm. Gail Pellerin [D]	Asm. Pilar Schiavo [D]
Sen. Henry Stern [D]	Sen. Aisha Wahab [D]	Sen. Scott Wiener [D]</t>
  </si>
  <si>
    <t>AB 571</t>
  </si>
  <si>
    <t>Asm. Cottie Petrie-Norris [D]	Asm. Buffy Wicks [D]	Asm. Cecilia Aguiar-Curry [D]	Asm. Rebecca Bauer-Kahan [D]
Sen. Josh Becker [D]	Asm. Marc Berman [D]	Asm. Lisa Calderon [D]	Sen. Sabrina Cervantes [D]
Asm. Laura Friedman [D]	Asm. Jesse Gabriel [D]	Asm. Mike Gipson [D]	Asm. Matt Haney [D]
Asm. Reginald Jones-Sawyer [D]	Sen. Dave Min [D]	Asm. Stephanie Nguyen [D]</t>
  </si>
  <si>
    <t>Connecticut</t>
  </si>
  <si>
    <t>HB 5210</t>
  </si>
  <si>
    <t>No cost sharing for FDA approved contraceptives.</t>
  </si>
  <si>
    <t>Rep. Christine Conley, Rep. Linda M. Gentile, Sen. Gayle S. Slossberg, Sen. Steve Cassano, Rep. Linda A. Orange, Rep. Joe de la Cruz, Rep. Robyn A. Porter, Rep. Roland J. Lemar, Rep. Patricia A. Dillon, Rep. James M. Albis, Rep. Joseph P. Gresko, Rep. Mary M. Mushinsky, Rep. Andrew M. Fleischmann, Rep. Livvy R. Floren, Rep. Terrie E. Wood, Rep. Jeff Currey, Rep. Devin R. Carney, Rep. Russell A. Morin, Rep. Sean Scanlon, Rep. Gregory Haddad, Rep. Terry B. Adams, Rep. Cristin McCarthy Vahey, Rep. Liz Linehan, Rep. Peter A. Tercyak, Rep. Kim Rose, Rep. Michael Winkler, Rep. Susan M. Johnson, Rep. Josh Elliott, Sen. Mae Flexer, Rep. Noreen S. Kokoruda, Rep. Gail Lavielle, Sen. Marilyn V. Moore, Rep. Diana S. Urban, Rep. Scott A. Storms, Rep. Laura M. Devlin, Rep. Melissa H. Ziobron, Rep. Philip L. Young, Rep. Tom Delnicki, Rep. Bob Godfrey, Rep. Gary Byron, Rep. Jonathan Steinberg, Rep. Juan R. Candelaria, Rep. Bruce V. Morris, Rep. John H. Frey, Rep. Chris Perone, Rep. Antonio Guerrera, Rep. Steven J. Stafstrom, Rep. Matthew Lesser, Rep. Caroline Simmons, Rep. Derek Slap, Rep. Joshua Malik Hall, Sen. George S. Logan, Sen. Terry B. Gerratana, Sen. Beth Bye, Rep. Mike Demicco, Sen. Carlo Leone, Sen. Catherine A. Osten, Sen. Martin M. Looney, Sen. Bob Duff, Sen. Henri Martin, Sen. Heather B. Somers</t>
  </si>
  <si>
    <t>contra_otc_script</t>
  </si>
  <si>
    <t>Mandated insurance coverage for FDA approved over-the-counter contraceptives with prescription.</t>
  </si>
  <si>
    <t>Nevada</t>
  </si>
  <si>
    <t>SB 163</t>
  </si>
  <si>
    <t>Sen. Melanie Scheible [D]        Sen. Dallas Harris [D]        Sen. Patricia Spearman [D]        Rep. Cecelia Gonzalez [D]</t>
  </si>
  <si>
    <t>SB 2475</t>
  </si>
  <si>
    <t>Oregon</t>
  </si>
  <si>
    <t>HB 2002</t>
  </si>
  <si>
    <t>Rep. Andrea Valderrama [D]	Rep. Travis Nelson [D]	Sen. Katherine Lieber [D]	Sen. Elizabeth Steiner Hayward [D]
Rep. Tom Andersen [D]	Rep. Ben Bowman [D]	Rep. Janelle Bynum [D]	Rep. Maxine Dexter [D]
Rep. Julianne Fahey [D]	Rep. Mark Gamba [D]	Rep. David Gomberg [D]	Rep. Dacia Grayber [D]
Rep. Annessa Hartman [D]	Rep. Ken Helm [D]	Rep. Paul Holvey [D]	Rep. Zach Hudson [D]
Rep. Jason Kropf [D]	Rep. Pam Marsh [D]	Rep. Susan McLain [D]	Rep. Daniel Nguyen [D]
Rep. Hoa Nguyen [D]	Rep. Robert Nosse [D]	Rep. Hai Pham [D]	Sen. Khanh Pham [D]
Sen. Lisa Reynolds [D]	Rep. Ricki Ruiz [D]	Rep. Nathan Sosa [D]	Rep. Thuy Tran [D]
Rep. Jules Walters [D]	Sen. Wlnsvey Campos [D]	Sen. Michael Dembrow [D]	Sen. Lew Frederick [D]
Sen. Sara Gelser Blouin [D]	Sen. Jeffrey Golden [D]	Sen. Chris Gorsek [D]	Sen. Kayse Jama [D]
Sen. James Manning [D]	Sen. Mark Meek [D]	Sen. Deb Patterson [D]	Sen. Floyd Prozanski [D]
Sen. Janeen Sollman [D]	Sen. Kathleen Taylor [D]	Sen. Rob Wagner [D]	Sen. Aaron Woods [D]</t>
  </si>
  <si>
    <t>Vermont</t>
  </si>
  <si>
    <t>SB 37</t>
  </si>
  <si>
    <t>Sen. Virginia Lyons [D]	Sen. Ruth Hardy [D]	Sen. Alison Clarkson [D]	Sen. Kesha Ram Hinsdale [D]
Sen. Philip Baruth [D]	Sen. Christopher Bray [D]	Sen. Brian Campion [D]	Sen. Thomas Chittenden [D]
Sen. Ann Cummings [D]	Sen. Martine Gulick [D]	Sen. Wendy Harrison [D]	Sen. Nader Hashim [D]
Sen. Jane Kitchel [D]	Sen. Richard McCormack [D]	Sen. Andrew Perchlik [D]	Sen. Richard Sears [D]
Sen. Tanya Vyhovsky [D]	Sen. Anne Watson [D]	Sen. Rebecca White [D]	Sen. Irene Wrenner [D]</t>
  </si>
  <si>
    <t>HB 89</t>
  </si>
  <si>
    <t>Rep. Katherine Donnally [D]        Rep. Martin LaLonde [D]        Rep. Taylor Small [D]        Rep. Julia Andrews [D]
Rep. Joseph Andriano [D]        Rep. Peter Anthony [D]        Rep. John Arrison [D]        Rep. Angela Arsenault [D]
Rep. Sarita Austin [D]        Rep. John Bartholomew [D]        Rep. Daisy Berbeco [D]        Rep. Matt Birong [D]
Rep. Alyssa Black [D]        Rep. Tiffany Bluemle [D]        Sen. Seth Bongartz [D]        Rep. Michelle Bos-Lun [D]
Rep. Erin Brady [D]        Rep. Jana Brown [D]        Rep. Jessica Brumsted [D]        Rep. Mollie Burke [D]
Rep. Elizabeth Burrows [D]        Rep. Tesha Buss [D]        Rep. Scott Campbell [D]        Rep. Conor Casey [D]
Rep. Ela Chapin [D]        Rep. Heather Chase [D]        Rep. Seth Chase [D]        Rep. Robin Chesnut-Tangerman [D]
Rep. Kevin Christie [D]        Rep. Brian Cina [D]        Rep. Sara Coffey [D]        Rep. Esme Cole [D]
Rep. Peter Conlon [D]        Rep. Timothy Corcoran [D]        Rep. Mari Cordes [D]        Rep. Carl Demrow [D]
Rep. Leonora Dodge [D]        Rep. Karen Dolan [D]        Rep. Kari Dolan [D]        Rep. David Durfee [D]
Rep. Caleb Elder [D]        Rep. Alice Emmons [D]        Rep. Bobby Farlice-Rubio [D]        Rep. Rey Garofano [D]
Rep. Leslie Goldman [D]        Rep. Edye Graning [D]        Rep. Troy Headrick [I]        Rep. Rebecca Holcombe [D]
Rep. Robert Hooper [D]        Rep. Lori Houghton [D]        Rep. Mary Howard [D]        Rep. Noah Hyman [D]
Rep. Kathleen James [D]        Rep. Stephanie Jerome [D]        Rep. Emilie Kornheiser [D]        Rep. Emilie Krasnow [D]
Rep. Kate Lalley [D]        Rep. Saudia Lamont [D]        Rep. Diane Lanpher [D]        Rep. Josie Leavitt [D]
Rep. Kate Logan [D]        Rep. Emily Long [D]        Rep. James Masland [D]        Rep. Kate McCann [D]
Rep. Mike McCarthy [D]        Rep. Jubilee McGill [D]        Rep. Marc Mihaly [D]        Rep. Brian Minier [D]
Rep. Michael Mrowicki [D]        Rep. Emma Mulvaney-Stanak [D]        Rep. Logan Nicoll [D]        Rep. William Notte [D]
Rep. Daniel Noyes [D]        Rep. Kate Nugent [D]        Rep. Carol Ode [D]        Rep. Kelly Pajala [I]
Rep. Avram Patt [D]        Rep. Phil Pouech [D]        Rep. Monique Priestley [D]        Rep. Barbara Rachelson [D]
Rep. Mike Rice [D]        Rep. Tristan Roberts [D]        Rep. Lawrence Satcowitz [D]        Rep. Robin Scheu [D]
Rep. Amy Sheldon [D]        Rep. Laura Sibilia [I]        Rep. Katherine Sims [D]        Rep. Trevor Squirrell [D]
Rep. Gabrielle Stebbins [D]        Rep. Thomas Stevens [D]        Rep. Mary-Katherine Stone [D]        Rep. Heather Surprenant [D]
Rep. Curt Taylor [D]        Rep. David Templeman [D]        Rep. Tristan Toleno [D]        Rep. Dara Torre [D]
Rep. Joseph Troiano [D]        Rep. Chea Evans [D]        Rep. Kirk White [D]        Rep. Jonathan Williams [D]
Rep. Theresa Wood [D]</t>
  </si>
  <si>
    <t>Washington</t>
  </si>
  <si>
    <t>HB 1469</t>
  </si>
  <si>
    <t>Sen. Drew Hansen [D]        Rep. My-Linh Thai [D]        Rep. Frank Chopp [D]        Rep. Joe Fitzgibbon [D]
Rep. Tarra Simmons [D]        Rep. Liz Berry [D]        Sen. Vandana Slatter [D]        Rep. Sharon Santos [D]
Rep. Cindy Ryu [D]        Rep. Chipalo Street [D]        Rep. Mia Gregerson [D]        Rep. Roger Goodman [D]
Rep. Strom Peterson [D]        Rep. Steve Tharinger [D]        Rep. Alex Ramel [D]        Rep. Nicole Macri [D]
Rep. Timm Ormsby [D]        Rep. Kristine Reeves [D]        Rep. Tana Senn [D]        Rep. Beth Doglio [D]
Sen. Marcus Riccelli [D]        Sen. Emily Alvarado [D]        Sen. Jessica Bateman [D]        Rep. Melanie Morgan [D]
Rep. Lisa Callan [D]        Rep. Steve Bergquist [D]        Rep. Gerry Pollet [D]</t>
  </si>
  <si>
    <t>Florida</t>
  </si>
  <si>
    <t>gen_affirm_lim</t>
  </si>
  <si>
    <t>SB 254</t>
  </si>
  <si>
    <t>Prohibits insurance coverage for sex-reassignment surgery.</t>
  </si>
  <si>
    <t xml:space="preserve">        Sen. Clay Yarborough [R]        Sen. Keith Perry [R]        Sen. Douglas Broxson [R]</t>
  </si>
  <si>
    <t>HB 170</t>
  </si>
  <si>
    <t>Rep. Patrick Flannery [R]	Rep. Jason Nemes [R]	Rep. Daniel Fister [R]	Rep. Jacob Justice [R]
Rep. Shawn McPherson [R]	Rep. Kimberly Moser [R]	Rep. Amy Neighbors [R]	Rep. Michael Pollock [R]
Rep. Scott Sharp [R]</t>
  </si>
  <si>
    <t>Louisiana</t>
  </si>
  <si>
    <t>HB 186</t>
  </si>
  <si>
    <t>Rep. Paula Davis [R]	Rep. Delisha Boyd [D]	Rep. Chad Brown [D]	Rep. Rhonda Butler [R]
Rep. Dewith Carrier [R]	Rep. Aimee Freeman [D]	Rep. Barbara Freiberg [R]	Rep. Cedric Glover [D]
Rep. Stephanie Hilferty [R]	Rep. Jason Hughes [D]	Rep. John Illg [R]	Rep. Mandie Landry [D]
Rep. Jack McFarland [R]	Rep. Pat Moore [D]	Rep. Candace Newell [D]	Rep. Laurie Schlegel [R]
Rep. Matthew Willard [D]	Sen. Gary Carter [D]	Sen. Royce Duplessis [D]	Sen. Katrina Jackson-Andrews [D]
Sen. Robert Mills [R]	Sen. Gary Smith [D]	Sen. Kirk Talbot [R]</t>
  </si>
  <si>
    <t>Montana</t>
  </si>
  <si>
    <t>SB 516</t>
  </si>
  <si>
    <t>Sen. Jen Gross [D]</t>
  </si>
  <si>
    <t>Texas</t>
  </si>
  <si>
    <t>HB 1649</t>
  </si>
  <si>
    <t xml:space="preserve">Mandates insurance coverage for diagnosis and treatment of fertility services. </t>
  </si>
  <si>
    <t>Rep. Angie Button [R]	Rep. Stephanie Klick [R]	Rep. Nicole Collier [D]	Rep. Caroline Harris Davila [R]
Rep. Victoria Neave Criado [D]	Rep. Mihaela Plesa [D]	Sen. Tan Parker [R]</t>
  </si>
  <si>
    <t>SB 2744</t>
  </si>
  <si>
    <t>Sen. Matt Klein [D], Sen. Nick Frentz [D]</t>
  </si>
  <si>
    <t>Rep. Alice Buckley [D]</t>
  </si>
  <si>
    <t>SB 103</t>
  </si>
  <si>
    <t>Sen. Meghan Kallman [D], Sen. Mark McKenney [D], Sen. Dawn Euer [D], Sen. Joshua Miller [D], Sen. Tiara Mack [D], Sen. Alana DiMario [D], Sen. Pamela Lauria [D], Sen. Matthew LaMountain [D], Sen. Ryan Pearson [D]</t>
  </si>
  <si>
    <t>HB 916</t>
  </si>
  <si>
    <t>Rep. Claudia Ordaz Perez [D], Rep. Shelby Slawson [R], Rep. James Frank [R], Rep. Toni Rose [D], Rep. Donna Howard [D], Rep. Alma Allen [D], Rep. Rafael Anchia [D], Rep. Ernest Bailes [R], Rep. Diego Bernal [D], Rep. Ben Bumgarner [R], Rep. Angie Button [R], Rep. Elizabeth Campos [D], Rep. Nicole Collier [D], Rep. David Cook [R], Rep. Philip Cortez [D], Rep. Drew Darby [R], Rep. Maria Flores [D], Rep. Frederick Frazier [R], Rep. Erin Gamez [D], Rep. Josey Garcia [D], Rep. Gary Gates [R], Rep. Jessica Gonzalez [D], Rep. Vikki Goodwin [D], Rep. Ryan Guillen [R], Rep. Caroline Harris Davila [R], Rep. Ana Hernandez [D], Rep. Gina Hinojosa [D], Rep. Carrie Isaac [R], Rep. Jacey Jetton [R], Rep. Ann Johnson [D], Rep. Jarvis Johnson [D], Rep. Julie Johnson [D], Rep. Venton Jones [D], Rep. Suleman Lalani [D], Rep. Stan Lambert [R], Rep. Jeff Leach [R], Rep. Janie Lopez [R], Rep. Ray Lopez [D], Rep. John Lujan [R], Rep. Christian Manuel [D], Rep. Terry Meza [D], Rep. Penny Morales Shaw [D], Rep. Christina Morales [D], Rep. Eddie Morales [D], Rep. Geanie Morrison [R], Rep. Victoria Neave Criado [D], Rep. Tom Oliverson [R], Rep. Angelia Orr [R], Rep. Lina Ortega [D], Rep. Jared Patterson [R], Rep. Mary Perez [D], Rep. Mihaela Plesa [D], Rep. Ana-Maria Rodriguez Ramos [D], Rep. John Raney [R], Rep. Ramon Romero [D], Rep. Hugh Shine [R], Rep. Reggie Smith [R], Rep. Kronda Thimesch [R], Rep. Ellen Troxclair [R], Rep. Chris Turner [D], Rep. Hubert Vo [D], Rep. Armando Walle [D], Rep. Eugene Wu [D], Rep. Erin Zwiener [D], Sen. Angela Paxton [R], Sen. Carol Alvarado [D], Sen. Cesar Blanco [D], Sen. Sarah Eckhardt [D], Sen. Juan Hinojosa [D], Sen. Joan Huffman [R], Sen. Morgan LaMantia [D], Sen. Royce West [D]</t>
  </si>
  <si>
    <t>SB 284</t>
  </si>
  <si>
    <t>Sen. Janice Marchman [D] Sen. Janice Rich [R] Rep. Eliza Hamrick [D] Rep. Richard Holtorf [R], Sen. Mark Baisley [R] Sen. Jeff Bridges [D] Sen. Janet Buckner [D] Sen. James Coleman [D], Sen. Lisa Cutter [D] Sen. Jessie Danielson [D] Sen. Thomas Exum [D] Sen. Rhonda Fields [D], Sen. Bob Gardner [R] Sen. Joann Ginal [D] Sen. Julie Gonzales [D] Sen. Sonya Jaquez Lewis [D], Sen. Barbara Kirkmeyer [R] Sen. Larry Liston [R] Sen. Paul Lundeen [R] Sen. Kyle Mullica [D], Sen. Byron Pelton [R] Sen. Rod Pelton [R] Sen. Kevin Priola [D] Sen. Dylan Roberts [D], Sen. Cleave Simpson [R] Sen. Jim Smallwood [R] Sen. Perry Will [R] Sen. Faith Winter [D], Rep. Ryan Armagost [R] Rep. Jennifer Bacon [D] Rep. Shannon Bird [D] Rep. Andrew Boesenecker [D], Rep. Kyle Brown [D] Rep. Ruby Dickson [D] Rep. Monica Duran [D] Rep. Regina English [D], Rep. Meg Froelich [D] Rep. Lorena Garcia [D] Sen. Iman Jodeh [D] Rep. Junie Joseph [D], Rep. Mandy Lindsay [D] Rep. Meghan Lukens [D] Rep. Michael Lynch [R] Rep. Bob Marshall [D], Rep. Julie McCluskie [D] Rep. Karen McCormick [D] Rep. Barbara McLachlan [D] Sen. Dafna Michaelson Jenet [D], Rep. David Ortiz [D] Rep. Jennifer Parenti [D] Rep. Naquetta Ricks [D] Rep. Said Sharbini [D], Sen. Marc Snyder [D] Rep. Tammy Story [D] Rep. Brianna Titone [D] Rep. Alex Valdez [D], Rep. Elizabeth Velasco [D] Sen. Michael Weissman [D] Rep. Jenny Willford [D] Rep. Steven Woodrow [D], Rep. Mary Young [D]</t>
  </si>
  <si>
    <t>SB 189</t>
  </si>
  <si>
    <t>No cost sharing for all reproductive health care.</t>
  </si>
  <si>
    <t>Sen. Lisa Cutter [D], Sen. Dominick Moreno [D], Rep. Lorena Garcia [D], Sen. Dafna Michaelson Jenet [D], Sen. Julie Gonzales [D], Sen. Sonya Jaquez Lewis [D], Sen. Janice Marchman [D], Sen. Faith Winter [D], Rep. Elisabeth Epps [D], Rep. Meg Froelich [D], Rep. Karen McCormick [D], Rep. Brianna Titone [D], Sen. Janet Buckner [D], Sen. James Coleman [D], Sen. Jessie Danielson [D], Sen. Steve Fenberg [D], Sen. Rhonda Fields [D], Sen. Joann Ginal [D], Sen. Nick Hinrichsen [D], Sen. Kyle Mullica [D], Sen. Tom Sullivan [D], Sen. Judith Amabile [D], Rep. Jennifer Bacon [D], Rep. Shannon Bird [D], Rep. Andrew Boesenecker [D], Rep. Kyle Brown [D], Sen. Lindsey Daugherty [D], Rep. Ruby Dickson [D], Rep. Monica Duran [D], Rep. Serena Gonzales-Gutierrez [D], Rep. Eliza Hamrick [D], Sen. Iman Jodeh [D], Rep. Junie Joseph [D], Sen. Cathy Kipp [D], Rep. Sheila Lieder [D], Rep. Mandy Lindsay [D], Rep. William Lindstedt [D], Rep. Meghan Lukens [D], Rep. Javier Mabrey [D], Rep. Julie McCluskie [D], Rep. Barbara McLachlan [D], Rep. David Ortiz [D], Rep. Jennifer Parenti [D], Rep. Naquetta Ricks [D], Rep. Said Sharbini [D], Rep. Emily Sirota [D], Sen. Marc Snyder [D], Rep. Tammy Story [D], Rep. Elizabeth Velasco [D], Rep. Stephanie Vigil [D], Rep. Jenny Willford [D], Rep. Steven Woodrow [D], Rep. Mary Young [D], Rep. Chris Kennedy [D]</t>
  </si>
  <si>
    <t>SB 1561</t>
  </si>
  <si>
    <t>No cost sharing for over the counter FDA approved contraceptives.</t>
  </si>
  <si>
    <t>Sen. Celina Villanueva [D] Sen. Mattie Hunter [D] Sen. Laura Murphy [D] Sen. Adriane Johnson [D], Sen. Rachel Ventura [D] Sen. Javier Cervantes [D] Sen. Mary Edly-Allen [D] Sen. Mike Porfirio [D], Sen. Christopher Belt [D] Sen. Mike Simmons [D] Sen. Michael Hastings [D] Sen. Laura Fine [D], Sen. Sara Feigenholtz [D] Rep. Kelly Cassidy [D] Rep. Camille Lilly [D], Rep. Lilian Jimenez [D] Rep. Mary Canty [D] Rep. Terra Costa Howard [D], Rep. Matt Hanson [D] Rep. Anne Stava-Murray [D] Rep. Lindsey LaPointe [D] Rep. Theresa Mah [D], Rep. Marcus Evans [D] Rep. Daniel Didech [D] Rep. Janet Yang Rohr [D] Rep. Kimberly Du Buclet [D], Rep. Maura Hirschauer [D] Rep. Michelle Mussman [D], Rep. Edgar Gonzalez [D] Rep. Nabeela Syed [D], Rep. Hoan Huynh [D] Rep. Laura Faver Dias [D] Rep. Norma Hernandez [D], Rep. Kevin Olickal [D] Rep. Joyce Mason [D], Rep. Will Guzzardi [D] Rep. Barbara Hernandez [D], Rep. Justin Slaughter [D] Rep. Sonya Harper [D], Rep. Katie Stuart [D] Rep. Anna Moeller [D], Rep. Margaret Croke [D] Rep. Eva Dina Delgado [D]</t>
  </si>
  <si>
    <t>SB 1115</t>
  </si>
  <si>
    <t>Marketplace Limitations: 2011</t>
  </si>
  <si>
    <t>Sen. Elfreda Higgins [D], Sen. Thomas Loertscher [R], Se. Phylis King [D], Sen. Brent Crane [R], Sen. Cherie Buckner-Webb [D], Sen. Eric Anderson [R], Sen. Elaine Smith [D], Sen. Kathleen Sims [R], Sen. Frank Henderson [R], Sen. Pat Takasugi [R], Sen. Carlos Bilbao [R], Sen. Max Black [R], Sen. Lynn Luker [R], Sen. Joe Palmer [R], Sen. John Stevenson [R], Sen. Ken Andrus [R], Sen. Jim Guthrie [R], Sen. Janice McGeachin [R], Sen. Erik Simpson [R]</t>
  </si>
  <si>
    <t>SB 2995</t>
  </si>
  <si>
    <t>Sen. Melissa Wiklund [D]</t>
  </si>
  <si>
    <t>Mandated insurance coverage for 12-month FDA approved contraceptives.</t>
  </si>
  <si>
    <t>SB 161</t>
  </si>
  <si>
    <t>Sen. Melanie Scheible [D], Sen. Dallas Harris [D], Sen. Patricia Spearman [D], Sen. Nicole Cannizzaro [D], Sen. Heidi Gansert [R], Sen. Richard Daly [D], Sen. Fabian Donate [D], Sen. Marilyn Dondero Loop [D], Sen. Edgar Flores [D], Sen. Pete Goicoechea [R], Sen. Ira Hansen [R], Sen. Lisa Krasner [R], Sen. Dina Neal [D], Sen. Rochelle Nguyen [D], Sen. James Ohrenschall [D], Sen. Julie Pazina [D], Sen. Jeff Stone [R]</t>
  </si>
  <si>
    <t xml:space="preserve">HB 916 </t>
  </si>
  <si>
    <t>abor_man</t>
  </si>
  <si>
    <t>Requires abortion coverage in all private plans, including ACA Marketplace plans: 2025</t>
  </si>
  <si>
    <t>New Jersey</t>
  </si>
  <si>
    <t>SB 3275</t>
  </si>
  <si>
    <t>Requires abortion coverage in all private plans, including ACA Marketplace plans: 2023</t>
  </si>
  <si>
    <t>Sen. Nellie Pou [D], Sen. Nicholas Scutari [D], Rep. Mila Jasey [D], Sen. Teresa Ruiz [D], Sen. Troy Singleton [D]</t>
  </si>
  <si>
    <t xml:space="preserve"> SB 4007</t>
  </si>
  <si>
    <t>Mandates abortion coverage.</t>
  </si>
  <si>
    <t>Helene Weinstein, Philip Ramos, John T. McDonald III, J. Gary Pretlow, Nily Rozic, Latoya Joyner, Rebecca Seawright, Jo Anne Simon, Latrice Walker, David Weprin, William Magnarelli, Alicia Hyndman, Jeffrion Aubry, William Colton, Michael Benedetto, Rodneyse Bichotte Hermelyn, Edward Braunstein, Harry Bronson, Vivian Cook, Catalina Cruz, Erik Dilan, Jeffrey Dinowitz, Deborah Glick, Brian Manktelow, Michael J. Norris, Philip Palmesano, Edward Ra, Robert Smullen, Mary Beth Walsh, Kenneth Blankenbush, Karl Brabenec, Stephen Hawley, Joseph DeStefano, Michael Fitzpatrick</t>
  </si>
  <si>
    <t>Requires abortion coverage in all private plans, including ACA Marketplace plans: 2024</t>
  </si>
  <si>
    <t>vase</t>
  </si>
  <si>
    <t>SB 523</t>
  </si>
  <si>
    <t>Mandates insurance coverage for vasectomies.</t>
  </si>
  <si>
    <t>Sen. Connie Leyva [D], Asm. David Chiu [D], Asm. Cristina Garcia [D], Sen. Lena Gonzalez [D], Sen. Benjamin Hueso [D], Asm. Marc Levine [D], Sen. Josh Newman [D]</t>
  </si>
  <si>
    <t>HB 5318</t>
  </si>
  <si>
    <t>Rep. LaShawn Ford [D]	Rep. Daniel Swanson [R]	Rep. Nicholas Smith [D]	Rep. Timothy Butler [R]
Rep. Mark Luft [R]	Rep. Emanuel Welch [D]	Rep. Rita Mayfield [D]	Rep. Camille Lilly [D]
Rep. Dave Severin [R]	Sen. Thomas Bennett [R]	Rep. Adam Niemerg [R]	Rep. Michael Marron [R]
Rep. Patrick Windhorst [R]	Rep. Chris Bos [R]	Rep. Tom Weber [R]	Rep. Blaine Wilhour [R]
Rep. Joyce Mason [D]	Rep. Lance Yednock [D]	Rep. Stephanie Kifowit [D]	Sen. Michael Halpin [D]
Rep. Justin Slaughter [D]	Rep. Mary Flowers [D]	Rep. William Davis [D]	Rep. Amy Grant [R]
Sen. Andrew Chesney [R]	Rep. Jaime Andrade [D]	Rep. Jennifer Gong-Gershowitz [D]	Rep. Ann Williams [D]
Rep. Deborah Conroy [D]	Rep. Kathleen Willis [D]	Rep. Elizabeth Hernandez [D]	Rep. Katie Stuart [D]
Rep. Latoya Greenwood [D]	Rep. Natalie Manley [D]	Rep. Frances Hurley [D]	Rep. Jonathan Carroll [D]
Rep. Maurice West [D]	Sen. Lakesia Collins [D]	Rep. Cyril Nichols [D]	Rep. Anthony DeLuca [D]
Rep. Dave Vella [D]	Rep. Martin Moylan [D]	Rep. Aaron Ortiz [D]	Rep. Debbie Meyers-Martin [D]
Sen. Emil Jones [D]	Sen. Napoleon Harris [D]	Sen. Adriane Johnson [D]	Sen. Cristina Castro [D]
Sen. Mattie Hunter [D]	Sen. Karina Villa [D]	Sen. Patricia Van Pelt [D]	Sen. Kimberly Lightford [D]
Sen. Scott Bennett [D]	Sen. Meg Loughran Cappel [D]	Sen. Diane Pappas [D]	Sen. Mike Simmons [D]
Sen. Robert Martwick [D]	Sen. Sara Feigenholtz [D]</t>
  </si>
  <si>
    <t>Hawaii</t>
  </si>
  <si>
    <t>HB 2405</t>
  </si>
  <si>
    <t>Rep. Aaron Johanson [D]	Rep. Della au Belatti [D]	Rep. Patrick Branco [D]	Rep. Ty Cullen [D]
Rep. Cedric Gates [D]	Sen. Troy Hashimoto [D]	Rep. Linda Ichiyama [D]	Rep. Greggor Ilagan [D]
Rep. Jeanne Kapela [D]	Rep. Nicole Lowen [D]	Rep. Lisa Marten [D]	Rep. Scot Matayoshi [D]
Rep. Lauren Matsumoto [R]	Sen. Angus McKelvey [D]	Rep. Daynette Morikawa [D]	Rep. Nadine Nakamura [D]
Rep. Mark Nakashima [D]	Rep. Scott Nishimoto [D]	Rep. Richard Onishi [D]	Rep. Amy Perruso [D]
Rep. Adrian Tam [D]	Rep. David Tarnas [D]	Rep. Chris Todd [D]	Rep. Tina Wildberger [D]
Rep. Kyle Yamashita [D]</t>
  </si>
  <si>
    <t>Kansas</t>
  </si>
  <si>
    <t>HB 2075</t>
  </si>
  <si>
    <t>Marketplace Limitations:  2011</t>
  </si>
  <si>
    <t>Rep. Clark Shultz, Rep. Phil Hermanson, Rep. Bob Grant, Rep. Rick Billinger, Rep. Anthony Brown, Rep. Tom Burroughs, Rep. Paul Davis, Rep. James Fawcett, Rep. TerriLois Gregory, Rep. Steven Johnson, Rep. Robert Montgomery, Rep. Charlotte O'Hara, Rep. Richard Proehl</t>
  </si>
  <si>
    <t xml:space="preserve">HB 1008 </t>
  </si>
  <si>
    <t>Rep. Matt Soper [R]	Rep. Kerry Tipper [D]	Sen. Steve Fenberg [D]	Sen. Faith Winter [D]
Rep. David Ortiz [D]	Sen. Judith Amabile [D]	Rep. Jennifer Bacon [D]	Rep. Tracey Bernett [D]
Rep. Shannon Bird [D]	Rep. Andrew Boesenecker [D]	Rep. Yadira Caraveo [D]	Sen. Lisa Cutter [D]
Rep. Daneya Esgar [D]	Sen. Thomas Exum [D]	Rep. Meg Froelich [D]	Rep. Alec Garnett [D]
Rep. Serena Gonzales-Gutierrez [D]	Rep. Matt Gray [D]	Rep. Leslie Herod [D]	Rep. Edith Hooton [D]
Sen. Iman Jodeh [D]	Rep. Chris Kennedy [D]	Rep. Mandy Lindsay [D]	Rep. Julie McCluskie [D]
Rep. Karen McCormick [D]	Rep. Barbara McLachlan [D]	Sen. Dafna Michaelson Jenet [D]	Sen. Kyle Mullica [D]
Rep. Naquetta Ricks [D]	Sen. Dylan Roberts [D]	Rep. Emily Sirota [D]	Sen. Tom Sullivan [D]
Rep. Brianna Titone [D]	Rep. Donald Valdez [D]	Rep. Alex Valdez [D]	Sen. Michael Weissman [D]
Rep. Mary Young [D]	Sen. Janet Buckner [D]	Sen. Rhonda Fields [D]	Sen. Joann Ginal [D]
Sen. Julie Gonzales [D]	Sen. Chris Hansen [D]	Sen. Nick Hinrichsen [D]	Sen. Chris Kolker [D]
Sen. Dominick Moreno [D]	Sen. Brittany Pettersen [D]	Sen. Robert Rodriguez [D]	Rep. Tammy Story [D]
Sen. Rachel Zenzinger [D]</t>
  </si>
  <si>
    <t>HB 1539</t>
  </si>
  <si>
    <t>Rep. Colleen Madigan [D]	Sen. Stacy Brenner [D]	Sen. Anne Carney [D]	Rep. Margaret Craven [D]
Sen. Matthea Larsen Daughtry [D]	Rep. Richard Evans [D]	Rep. Ryan Fecteau [D]	Rep. Michele Meyer [D]</t>
  </si>
  <si>
    <t>SB 1954</t>
  </si>
  <si>
    <t>Sen. Troy Jackson [D], Sen. Stacy Brenner [D], Sen. Anne Carney [D], Sen. Matthea Larsen Daughtry [D], Rep. Michelle Dunphy [D], Rep. Ryan Fecteau [D], Rep. Stephen Moriarty [D], Sen. Rachel Talbot Ross [D], Sen. Eloise Vitelli [D]</t>
  </si>
  <si>
    <t xml:space="preserve">HB 937 </t>
  </si>
  <si>
    <t>Sen. Ariana Kelly [D], Del. Shane Pendergrass [D], Del. Joseline Pena-Melnyk [D], Del. Bonnie Cullison [D], Del. Samuel Rosenberg [D], Del. Gabriel Acevero [D], Del. Heather Bagnall [D], Del. Kumar Barve [D], Del. Vanessa Atterbeary [D], Del. Ben Barnes [D], Del. Lisa Belcastro [D], Del. Regina Boyce [D], Sen. Benjamin Brooks [D], Del. Jon Cardin [D], Del. Alfred Carr [D], Del. Lorig Charkoudian [D], Del. Luke Clippinger [D], Del. Charlotte Crutchfield [D], Del. Jessica Feldmark [D], Del. Wanika Fisher [D], Del. Linda Foley [D], Del. Catherine Forbes [D], Del. David Fraser-hidalgo [D], Del. James Gilchrist [D], Del. Michele Guyton [D], Del. Andrea Harrison [D], Del. Terri Hill [D], Del. Faye Howell [D], Del. Dana Jones [D], Del. Anne Kaiser [D], Del. Marc Korman [D], Del. Mary Lehman [D], Del. Jazz Lewis [D], Del. Robbyn Lewis [D], Del. Brooke Lierman [D], Del. Lesley Lopez [D], Sen. Sara Love [D], Del. Eric Luedtke [D], Del. Maggie McIntosh [D], Del. David Moon [D], Del. Julie Palakovich Carr [D], Del. Lily Qi [D], Del. Pamela Queen [D], Del. Kirill Reznik [D], Del. Sheila Ruth [D], Del. Emily Shetty [D], Del. Stephanie Smith [D], Del. Jared Solomon [D], Del. Dana Stein [D], Del. Vaughn Stewart [D], Del. Jen Terrasa [D], Del. Kriselda Valderrama [D], Sen. Alonzo Washington [D], Del. Melissa Wells [D], Del. Jheanelle Wilkins [D], Del. Nicole Williams [D], Sen. Karen Lewis Young [D]</t>
  </si>
  <si>
    <t>Massachusetts</t>
  </si>
  <si>
    <t>HB 5090</t>
  </si>
  <si>
    <t>Rep. Marjorie Decker [D], Rep. Lindsay Sabadosa [D], Rep. Mike Connolly [D], Rep. Jack Lewis [D], Rep. Christina Minicucci [D], Rep. Lori Ehrlich [D], Rep. Carmine Gentile [D], Rep. David Linsky [D], Rep. Kay Khan [D], Rep. Ruth Balser [D], Rep. Steven Owens [D], Sen. Jason Lewis [D], Rep. Kevin Honan [D], Rep. Tommy Vitolo [D], Rep. David Rogers [D], Rep. Natalie Higgins [D], Rep. Sarah Peake [D], Rep. Ted Philips [D], Rep. James Arciero [D], Rep. David LeBoeuf [D], Rep. Michael Moran [D], Rep. Kate Lipper-Garabedian [D], Sen. Paul Mark [D], Sen. James Eldridge [D], Rep. Christine Barber [D], Sen. Joanne Comerford [D], Rep. Patricia Duffy [D], Sen. Dylan Fernandes [D], Rep. Adrian Madaro [D], Rep. Steven Ultrino [D], Rep. Peter Capano [D], Rep. Michael Kushmerek [D], Rep. Tram Nguyen [D], Sen. Julian Cyr [D], Sen. Harriette Chandler [D], Rep. Tami Gouveia [D], Sen. Rebecca Rausch [D], Rep. Natalie Blais [D], Rep. Meghan Kilcoyne [D]</t>
  </si>
  <si>
    <t>AB 9007</t>
  </si>
  <si>
    <t>Sen. Todd Kaminsky [D], Sen. Liz Krueger [D], Sen. John Liu [D], Sen. Julia Salazar [D], Sen. Alexis Weik [R], Sen. Edward Rath [R]</t>
  </si>
  <si>
    <t>HB 5432</t>
  </si>
  <si>
    <t>Rep. Mia Ackerman [D]	Rep. Michael Chippendale [R]	Rep. Bernard Hawkins [D]	Rep. Jacquelyn Baginski [D]
Rep. Joseph McNamara [D]</t>
  </si>
  <si>
    <t>SB 5313</t>
  </si>
  <si>
    <t>Sen. Marko Liias [D]	Sen. Emily Randall [D]	Sen. Mona Das [D]	Sen. Manka Dhingra [D]
Sen. David Frockt [D]	Sen. Samuel Hunt [D]	Sen. Karen Keiser [D]	Sen. Patty Kuderer [D]
Sen. Liz Lovelett [D]	Sen. Joe Nguyen [D]	Sen. T'wina Nobles [D]	Sen. Jamie Pedersen [D]
Sen. June Robinson [D]	Sen. Derek Stanford [D]	Sen. Kevin Van De Wege [D]	Sen. Claire Wilson [D]</t>
  </si>
  <si>
    <t>HB 3709</t>
  </si>
  <si>
    <t>Rep. Margaret Croke [D]	Rep. Katie Stuart [D]	Rep. Deborah Conroy [D]	Rep. Ann Williams [D]
Rep. John D'Amico [D]	Rep. Eva Dina Delgado [D]	Rep. Terra Costa Howard [D]	Rep. Robyn Gabel [D]
Rep. Kelly Cassidy [D]	Rep. Maurice West [D]	Rep. Jonathan Carroll [D]	Rep. Bob Morgan [D]
Rep. Daniel Didech [D]	Rep. Lindsey LaPointe [D]	Rep. Jennifer Gong-Gershowitz [D]	Rep. Jaime Andrade [D]
Rep. Anna Moeller [D]	Rep. Dagmara Avelar [D]	Sen. Mark Walker [D]	Rep. Natalie Manley [D]
Rep. Joyce Mason [D]	Rep. Rita Mayfield [D]	Rep. Kathleen Willis [D]	Rep. Elizabeth Hernandez [D]
Rep. Camille Lilly [D]	Rep. Barbara Hernandez [D]	Sen. Laura Fine [D]	Sen. Sara Feigenholtz [D]
Sen. Melinda Bush [D]	Sen. Celina Villanueva [D]	Sen. Omar Aquino [D]	Sen. Cristina Castro [D]
Sen. Scott Bennett [D]</t>
  </si>
  <si>
    <t>SB 25</t>
  </si>
  <si>
    <t>Mandated insurance coverage for 12-month FDA approved and hormonal contraceptives.</t>
  </si>
  <si>
    <t xml:space="preserve">Sen. Donald Coram [R]	Sen. Brittany Pettersen [D]	Rep. Kerry Tipper [D]	Sen. Perry Will [R]
Sen. Jeff Bridges [D]	Sen. Janet Buckner [D]	Sen. Jessie Danielson [D]	Sen. Kerry Donovan [D]
Sen. Rhonda Fields [D]	Sen. Joann Ginal [D]	Sen. Julie Gonzales [D]	Sen. Chris Hansen [D]
Sen. Sonya Jaquez Lewis [D]	Sen. Chris Kolker [D]	Sen. Pete Lee [D]	Sen. Dominick Moreno [D]
Sen. Robert Rodriguez [D]	Rep. Tammy Story [D]	Sen. Faith Winter [D]	Sen. Rachel Zenzinger [D]
Sen. Judith Amabile [D]	Rep. Tracey Bernett [D]	Rep. Shannon Bird [D]	Rep. Andrew Boesenecker [D]
Sen. Lisa Cutter [D]	Rep. Daneya Esgar [D]	Rep. Meg Froelich [D]	Rep. Serena Gonzales-Gutierrez [D]
Rep. Matt Gray [D]	Rep. Edith Hooton [D]	Rep. Dominique Jackson [D]	Sen. Iman Jodeh [D]
Sen. Cathy Kipp [D]	Rep. Julie McCluskie [D]	Sen. Dafna Michaelson Jenet [D]	Sen. Kyle Mullica [D]
Rep. Emily Sirota [D]	Rep. Brianna Titone [D]	Rep. Alex Valdez [D]	Rep. Donald Valdez [D]
Rep. Mary Young [D]	</t>
  </si>
  <si>
    <t>SB 9</t>
  </si>
  <si>
    <t>Sen. Sonya Jaquez Lewis [D]	Rep. Yadira Caraveo [D]	Sen. Janet Buckner [D]	Sen. Jessie Danielson [D]
Sen. Julie Gonzales [D]	Sen. Chris Kolker [D]	Sen. Brittany Pettersen [D]	Sen. Robert Rodriguez [D]
Rep. Adrienne Benavidez [D]	Rep. Monica Duran [D]	Rep. Serena Gonzales-Gutierrez [D]	Rep. Edith Hooton [D]
Sen. Iman Jodeh [D]	Rep. Susan Lontine [D]	Sen. Dafna Michaelson Jenet [D]	Sen. Kyle Mullica [D]
Rep. David Ortiz [D]	Rep. Brianna Titone [D]	Rep. Donald Valdez [D]	Rep. Alex Valdez [D]
Rep. Steven Woodrow [D]	Sen. Jeff Bridges [D]	Sen. James Coleman [D]	Sen. Kerry Donovan [D]
Sen. Steve Fenberg [D]	Sen. Rhonda Fields [D]	Sen. Joann Ginal [D]	Sen. Chris Hansen [D]
Sen. Pete Lee [D]	Sen. Dominick Moreno [D]	Rep. Tammy Story [D]	Sen. Faith Winter [D]
Sen. Rachel Zenzinger [D]	Rep. Jennifer Bacon [D]	Rep. Shannon Bird [D]	Rep. Andrew Boesenecker [D]
Sen. Lisa Cutter [D]	Rep. Daneya Esgar [D]	Sen. Thomas Exum [D]	Rep. Meg Froelich [D]
Rep. Matt Gray [D]	Rep. Leslie Herod [D]	Rep. Dominique Jackson [D]	Rep. Chris Kennedy [D]
Sen. Cathy Kipp [D]	Rep. Julie McCluskie [D]	Rep. Karen McCormick [D]	Rep. Barbara McLachlan [D]
Rep. Emily Sirota [D]	Sen. Tom Sullivan [D]	Rep. Mary Young [D]</t>
  </si>
  <si>
    <t>HB 135</t>
  </si>
  <si>
    <t>Rep. Michelle Mussman [D], Rep. Deborah Conroy [D], Rep. Natalie Manley [D], Rep. Kelly Cassidy [D], Rep. Robyn Gabel [D], Rep. Lindsey LaPointe [D], Rep. Suzanne Ness [D], Rep. Margaret Croke [D], Rep. Will Guzzardi [D], Rep. Anna Moeller [D], Rep. Bob Morgan [D], Rep. Joyce Mason [D], Rep. Kathleen Willis [D], Rep. Maura Hirschauer [D], Rep. Katie Stuart [D], Rep. Terra Costa Howard [D], Rep. Eva Dina Delgado [D], Rep. Anne Stava-Murray [D], Sen. Mark Walker [D], Rep. Daniel Didech [D], Rep. Jennifer Gong-Gershowitz [D], Rep. Elizabeth Hernandez [D], Sen. Lakesia Collins [D], Rep. Carol Ammons [D], Rep. Barbara Hernandez [D], Rep. Aaron Ortiz [D], Rep. Dagmara Avelar [D], Rep. Jonathan Carroll [D], Rep. Delia Ramirez [D], Rep. Kambium Buckner [D], Rep. Emanuel Welch [D], Sen. Melinda Bush [D], Sen. Doris Turner [D], Sen. Laura Fine [D], Sen. Napoleon Harris [D]</t>
  </si>
  <si>
    <t>AB 5508</t>
  </si>
  <si>
    <t>Sen. Andrew Zwicker [D]	Rep. Carol Murphy [D]	Rep. Shavonda Sumter [D]	Sen. Teresa Ruiz [D]
Sen. Nellie Pou [D]	Rep. Valerie Huttle [D]	Rep. Pamela Lampitt [D]	Rep. Nancy Pinkin [D]
Sen. Angela Mcknight [D]	Rep. Clinton Calabrese [D]	Rep. Gabriela Mosquera [D]	Rep. Mila Jasey [D]
Sen. Britnee Timberlake [D]	Sen. Linda Greenstein [D]	Rep. Herbert Conaway [D]	Rep. Roy Freiman [D]
Rep. Joann Downey [D]	Rep. Yvonne Lopez [D]</t>
  </si>
  <si>
    <t>HB 663</t>
  </si>
  <si>
    <t>Rep. Francis McFaun [R], Rep. Jessica Brumsted [D], Rep. Sandy Haas [D], Rep. Logan Nicoll [D], Rep. Daniel Noyes [D], Rep. Kelly Pajala [I], Rep. Ann Pugh [D], Rep. Carl Rosenquist [R], Rep. George Till [D], Rep. Theresa Wood [D], Rep. Marybeth Redmond [D]</t>
  </si>
  <si>
    <t>HB 852</t>
  </si>
  <si>
    <t>Del. Erek Barron [D]	Del. Gabriel Acevero [D]	Del. Curtis Anderson [D]	Del. Darryl Barnes [D]
Del. Talmadge Branch [D]	Del. Tony Bridges [D]	Sen. Benjamin Brooks [D]	Del. Alfred Carr [D]
Sen. Nick Charles [D]	Del. Frank Conaway [D]	Del. Dereck Davis [D]	Del. Keith Haynes [D]
Del. Marvin Holmes [D]	Del. Julian Ivey [D]	Sen. Carl Jackson [D]	Sen. Michael Jackson [D]
Del. Ken Kerr [D]	Del. Nicholaus Kipke [R]	Del. Jazz Lewis [D]	Sen. Johnny Mautz [R]
Del. Nick Mosby [D]	Del. Julie Palakovich Carr [D]	Del. Mike Rogers [D]	Del. Jared Solomon [D]
Del. Jay Walker [D]	Sen. Alonzo Washington [D]	Sen. Ron Watson [D]	Del. Nicole Williams [D]
Del. C.T. Wilson [D]	Del. Heather Bagnall [D]	Del. Harry Bhandari [D]	Del. Brian Chisholm [R]
Del. Bonnie Cullison [D]	Del. Terri Hill [D]	Del. Steve Johnson [D]	Sen. Ariana Kelly [D]
Del. Robbyn Lewis [D]	Del. Matt Morgan [R]	Del. Joseline Pena-Melnyk [D]	Del. Shane Pendergrass [D]
Del. Teresa Reilly [R]	Del. Samuel Rosenberg [D]	Del. Sheree Sample-Hughes [D]	Del. Kathy Szeliga [R]
Sen. Karen Lewis Young [D]</t>
  </si>
  <si>
    <t>HB 1429</t>
  </si>
  <si>
    <t>Sen. Danica Roem [D]        Del. Hala Ayala [D]        Del. Jeffrey Bourne [D]        Del. Lee Carter [D]
Del. Karrie Delaney [D]        Del. Wendy Gooditis [D]        Del. Elizabeth Guzman [D]        Del. Patrick Hope [D]
Del. Chris Hurst [D]        Del. Clinton Jenkins [D]        Del. Jerrauld Jones [D]        Del. Mark Levine [D]
Del. Michael Mullin [D]        Del. Marcia Price [D]        Del. Sam Rasoul [D]        Del. Ibraheem Samirah [D]
Del. Mark Sickles [D]        Sen. Suhas Subramanyam [D]</t>
  </si>
  <si>
    <t>HB 1158</t>
  </si>
  <si>
    <t>Mandates insurance coverage for diagnosis and treatment of infertility and fertility services.</t>
  </si>
  <si>
    <t>Rep. Kerry Tipper [D]	Rep. Leslie Herod [D]	Sen. Faith Winter [D]	Sen. Steve Fenberg [D]</t>
  </si>
  <si>
    <t>SB 988</t>
  </si>
  <si>
    <t>Mandates insurance coverage for diagnosis and treatment of fertility services to unmarried patients.</t>
  </si>
  <si>
    <t>Sen. Shelly Hettleman [D]	Sen. Susan Lee [D]</t>
  </si>
  <si>
    <t>SB 2133</t>
  </si>
  <si>
    <t>Sen. Nilsa Cruz-Perez [D]	Sen. Teresa Ruiz [D]	Rep. Pamela Lampitt [D]	Sen. Britnee Timberlake [D]
Rep. Gabriela Mosquera [D]	Rep. Shavonda Sumter [D]	Rep. Cleopatra Tucker [D]	Rep. Verlina Reynolds-Jackson [D]
Sen. James Beach [D]	Sen. Linda Greenstein [D]	Sen. Nellie Pou [D]	Rep. Eliana Marin [D]
Rep. Joann Downey [D]</t>
  </si>
  <si>
    <t>SB 13</t>
  </si>
  <si>
    <t>Sen. Michelle Benson [R], Sen. Rich Draheim [R], Sen. Justin Eichorn [R], Sen. Matt Klein [D], Sen. Karin Housley [R]</t>
  </si>
  <si>
    <t>SB 95</t>
  </si>
  <si>
    <t>Reaffirms ACA's mandated insurance coverage of contraceptives with prescription.</t>
  </si>
  <si>
    <t>Sen. Barbara Favola [D], Sen. Jennifer Boysko [D]</t>
  </si>
  <si>
    <t>Sen. Andrew Zwicker [D], Rep. Nicholas Chiaravalloti [D]</t>
  </si>
  <si>
    <t>SB 413</t>
  </si>
  <si>
    <t>No cost sharing for FDA approved prescription contraceptives.</t>
  </si>
  <si>
    <t>Sen. Shirley Turner [D] Sen. Teresa Ruiz [D] Rep. Valerie Huttle [D] Rep. Mila Jasey [D], Sen. Linda Greenstein [D] Sen. Joseph Lagana [D] Sen. Troy Singleton [D] Rep. Daniel Benson [D], Rep. Pamela Lampitt [D]</t>
  </si>
  <si>
    <t>West Virginia</t>
  </si>
  <si>
    <t>HB 4198</t>
  </si>
  <si>
    <t>Del. Rodney Pyles [D], Del. Mike Pushkin [D], Del. Cindy Lavender-Bowe [D], Del. Sammi Brown [D]</t>
  </si>
  <si>
    <t>HB 4009</t>
  </si>
  <si>
    <t>James Eldridge, Vinny deMacedo, Aaron Michlewitz, F. Jay Barrows, Eric Lesser, Shawn C. Dooley, Michael Finn, Joseph Boncore, John Keenan, Sal DiDomenico, Thomas Stanley, Chris Walsh, Marjorie Decker, Christine Barber, Michael Day, Jose Tosado, Dan Cahill</t>
  </si>
  <si>
    <t>New Mexico</t>
  </si>
  <si>
    <t>Rep. Deborah Armstrong [D]	Sen. Elizabeth Stefanics [D]</t>
  </si>
  <si>
    <t>SB 659</t>
  </si>
  <si>
    <t>Sen. Julia Salazar [D]	Sen. Jen Metzger [D]	Sen. Joseph Addabbo [D]	Sen. Jamaal Bailey [D]
Sen. Brian Benjamin [D]	Sen. Alessandra Biaggi [D]	Sen. Neil Breslin [D]	Sen. John Brooks [D]
Sen. David Carlucci [D]	Sen. Leroy Comrie [D]	Sen. James Gaughran [D]	Sen. Michael Gianaris [D]
Sen. Andrew Gounardes [D]	Sen. Peter Harckham [D]	Sen. Brad Hoylman-Sigal [D]	Sen. Robert Jackson [D]
Sen. Todd Kaminsky [D]	Sen. Anna Kaplan [D]	Sen. Brian Kavanagh [D]	Sen. Timothy Kennedy [D]
Sen. Liz Krueger [D]	Sen. John Liu [D]	Sen. Monica Martinez [D]	Sen. Rachel May [D]
Sen. Shelley Mayer [D]	Sen. Velmanette Montgomery [D]	Sen. Zellnor Myrie [D]	Sen. Kevin Parker [D]
Sen. Roxanne Persaud [D]	Sen. Jessica Ramos [D]	Sen. Gustavo Rivera [D]	Sen. James Sanders [D]
Sen. Diane Savino [D]	Sen. Luis Sepulveda [D]	Sen. Jose Serrano [D]	Sen. James Skoufis [D]
Sen. Toby Stavisky [D]	Sen. Andrea Stewart-Cousins [D]	Sen. Kevin Thomas [D]</t>
  </si>
  <si>
    <t>Georgia</t>
  </si>
  <si>
    <t>SB 133</t>
  </si>
  <si>
    <t>Sen. Marty Harbin [R], Sen. Burt Jones [R], Sen. Larry Walker [R], Rep. Richard Smith [R]</t>
  </si>
  <si>
    <t>New Hampshire</t>
  </si>
  <si>
    <t>SB 279</t>
  </si>
  <si>
    <t>Sen. Martha Hennessey [D]        Sen. Thomas Sherman [D]        Sen. Melanie Levesque [D]        Sen. Jay Kahn [D]
Sen. Kevin Cavanaugh [D]        Sen. Jeb Bradley [R]        Sen. Charles Morse [R]</t>
  </si>
  <si>
    <t>Sen. Kalani English [D]</t>
  </si>
  <si>
    <t>SB 361</t>
  </si>
  <si>
    <t>Sen. Nicole Cannizzaro [D], Sen. Yvanna Cancela [D], Sen. Julia Ratti [D], Sen. Joyce Woodhouse [D]</t>
  </si>
  <si>
    <t>Sen. Andrew Zwicker [D], Rep. Carol Murphy [D], Rep. Shavonda Sumter [D], Sen. Teresa Ruiz [D], Sen. Nellie Pou [D], Rep. Valerie Huttle [D], Rep. Pamela Lampitt [D], Rep. Nancy Pinkin [D], Sen. Angela Mcknight [D], Rep. Clinton Calabrese [D], Rep. Gabriela Mosquera [D], Rep. Mila Jasey [D], Sen. Britnee Timberlake [D], Sen. Linda Greenstein [D], Rep. Herbert Conaway [D], Rep. Roy Freiman [D], Rep. Joann Downey [D], Rep. Yvonne Lopez [D]</t>
  </si>
  <si>
    <t>Rep. Deborah Armstrong [D], Sen. Elizabeth Stefanics [D]</t>
  </si>
  <si>
    <t>Sen. Julia Salazar [D], Sen. Jen Metzger [D], Sen. Joseph Addabbo [D], Sen. Jamaal Bailey [D], Sen. Brian Benjamin [D], Sen. Alessandra Biaggi [D], Sen. Neil Breslin [D], Sen. John Brooks [D], Sen. David Carlucci [D], Sen. Leroy Comrie [D], Sen. James Gaughran [D], Sen. Michael Gianaris [D], Sen. Andrew Gounardes [D], Sen. Peter Harckham [D], Sen. Brad Hoylman-Sigal [D], Sen. Robert Jackson [D], Sen. Todd Kaminsky [D], Sen. Anna Kaplan [D], Sen. Brian Kavanagh [D], Sen. Timothy Kennedy [D], Sen. Liz Krueger [D], Sen. John Liu [D], Sen. Monica Martinez [D], Sen. Rachel May [D], Sen. Shelley Mayer [D], Sen. Velmanette Montgomery [D], Sen. Zellnor Myrie [D], Sen. Kevin Parker [D], Sen. Roxanne Persaud [D], Sen. Jessica Ramos [D], Sen. Gustavo Rivera [D], Sen. James Sanders [D], Sen. Diane Savino [D], Sen. Luis Sepulveda [D], Sen. Jose Serrano [D], Sen. James Skoufis [D], Sen. Toby Stavisky [D], Sen. Andrea Stewart-Cousins [D], Sen. Kevin Thomas [D]</t>
  </si>
  <si>
    <t>HB 229</t>
  </si>
  <si>
    <t>Marketplace Limitations: 2022</t>
  </si>
  <si>
    <t>Rep. Jane Gillette [R]</t>
  </si>
  <si>
    <t>HB 2583</t>
  </si>
  <si>
    <t>Del. Jordan Hill [R] Del. Joe Ellington [R] Del. Mike Pushkin [D] Del. Matthew Rohrbach [R], Del. Barbara Fleischauer [D] Del. Danielle Walker [D] Del. Margaret Staggers [D] Del. Pat McGeehan [R], Del. Amy Summers [R] Del. John Doyle [D]</t>
  </si>
  <si>
    <t>SB 659A</t>
  </si>
  <si>
    <t>Sen. Melinda Bush [D], Sen. Elgie Sims [D], Sen. Linda Holmes [D], Sen. Cristina Castro [D], Sen. Omar Aquino [D], Sen. Kimberly Lightford [D], Sen. Robert Peters [D], Sen. Iris Martinez [D], Sen. Mattie Hunter [D], Sen. Emil Jones [D], Sen. Ann Gillespie [D], Sen. Michael Hastings [D], Sen. Ram Villivalam [D], Sen. Martin Sandoval [D], Sen. Laura Fine [D], Sen. Don Harmon [D], Rep. Kelly Cassidy [D], Rep. Emanuel Welch [D], Sen. Sara Feigenholtz [D], Rep. Marcus Evans [D], Rep. Jehan Gordon-Booth [D], Sen. Karina Villa [D], Rep. Will Guzzardi [D], Rep. Elizabeth Hernandez [D], Rep. Jennifer Gong-Gershowitz [D], Sen. Diane Pappas [D], Rep. Nicholas Smith [D], Rep. Latoya Greenwood [D], Rep. Ann Williams [D], Rep. Deborah Conroy [D], Rep. Daniel Didech [D], Rep. Anne Stava-Murray [D], Rep. Anna Moeller [D], Rep. Gregory Harris [D], Sen. Celina Villanueva [D], Rep. Katie Stuart [D], Rep. Barbara Hernandez [D], Rep. Robyn Gabel [D], Rep. Michelle Mussman [D], Sen. John Connor [D], Rep. Jonathan Carroll [D], Rep. Jaime Andrade [D], Rep. Kathleen Willis [D], Rep. Carol Ammons [D], Rep. Delia Ramirez [D], Rep. Justin Slaughter [D], Sen. Robert Martwick [D], Rep. Sonya Harper [D], Rep. Jawaharial Williams [D], Rep. Natalie Manley [D], Rep. Aaron Ortiz [D], Rep. Bob Morgan [D]</t>
  </si>
  <si>
    <t>Requires abortion coverage in all private plans, including ACA Marketplace plans: 2020</t>
  </si>
  <si>
    <t>HB 820</t>
  </si>
  <si>
    <t>Rep. Joyce McCreight [D], Rep. Kent Ackley [I], Rep. Christopher Babbidge [D], Rep. Shawn Babine [D], Sen. Donna Bailey [D], Sen. Pinny Beebe-Center [D], Sen. Shenna Bellows [D], Rep. Seth Berry [D], Rep. Lydia Blume [D], Sen. Catherine Breen [D], Rep. Michael Brennan [D], Rep. Heidi Brooks [D], Rep. Christopher Caiazzo [D], Rep. Barbara Cardone [D], Sen. Anne Carney [D], Sen. Everett Carson [D], Sen. Justin Chenette [D], Sen. Benjamin Chipman [D], Rep. Kristen Cloutier [D], Rep. Benjamin Collings [D], Rep. Janice Cooper [D], Rep. Scott Cuddy [D], Sen. Matthea Larsen Daughtry [D], Rep. Diane Denk [D], Rep. Dale Denno [D], Sen. Susan Deschambault [D], Sen. James Dill [D], Rep. Janice Dodge [D], Rep. Donna Doore [D], Rep. Victoria Doudera [D], Rep. Michelle Dunphy [D], Rep. Jeffrey Evangelos [I], Rep. Richard Farnsworth [D], Rep. Ryan Fecteau [D], Rep. Victoria Foley [D], Rep. Andrew Gattine [D], Rep. Sara Gideon [D], Rep. Lori Gramlich [D], Sen. Geoffrey Gratwick [D], Rep. Thomas Harnett [D], Rep. Allison Hepler [D], Rep. Daniel Hobbs [D], Rep. Brian Hubbell [D], Rep. Patricia Hymanson [D], Rep. Erik Jorgensen [D], Rep. Victoria Kornfield [D], Rep. Scott Landry [D], Sen. Nathan Libby [D], Sen. Louis Luchini [D], Rep. Colleen Madigan [D], Rep. Anne-Marie Mastraccio [D], Rep. Ann Matlack [D], Rep. David McCrea [D], Rep. Genevieve McDonald [D], Rep. Andrew McLean [D], Rep. Gina Melaragno [D], Rep. Michele Meyer [D], Rep. Rebecca Millett [D], Sen. David Miramant [D], Rep. Matthew Moonen [D], Rep. Margaret O'Neil [D], Rep. Sarah Pebworth [D], Rep. Ann Peoples [D], Rep. Anne Perry [D], Sen. Teresa Pierce [D], Rep. Lois Galgay Reckitt [D], Rep. Tiffany Roberts-Lovell [D], Rep. Deane Rykerson [D], Sen. Heather Sanborn [D], Sen. Linda Sanborn [D], Rep. John Schneck [D], Rep. Braden Sharpe [D], Rep. Michael Sylvester [D], Sen. Rachel Talbot Ross [D], Sen. Denise Tepler [D], Rep. Maureen Terry [D], Rep. Ryan Tipping-Spitz [D], Rep. Ralph Tucker [D], Sen. Eloise Vitelli [D], Rep. Charlotte Warren [D], Rep. Stanley Zeigler [D]</t>
  </si>
  <si>
    <t>Utah</t>
  </si>
  <si>
    <t>HB 40</t>
  </si>
  <si>
    <t>No health benefit plan can provide coverage for an abortion in a health insurance exchange created under the federal Patient Protection and Affordable Care Act unless the coverage is a type of permitted abortion coverage (death or harm to fetus or mother).</t>
  </si>
  <si>
    <t>Rep. Paul Ray [R], Sen. Karen Mayne [D]</t>
  </si>
  <si>
    <t>SB 137</t>
  </si>
  <si>
    <t>Sen. Edward Reilly [R]	Sen. Andrew Serafini [R]	Sen. Joanne Benson [D]	Sen. Brian Feldman [D]
Sen. Stephen Hershey [R]	Sen. J.B. Jennings [R]	Sen. Katherine Klausmeier [D]	Sen. Jim Mathias [D]
Sen. Thomas Middleton [D]	Sen. Nathaniel Oaks [D]	Sen. Jim Rosapepe [D]</t>
  </si>
  <si>
    <t>SB 6219</t>
  </si>
  <si>
    <t>Sen. Steven Hobbs [D] Sen. Rebecca Saldana [D] Sen. Manka Dhingra [D] Sen. Kevin Ranker [D], Sen. Reuven Carlyle [D] Sen. Dean Takko [D] Sen. Patty Kuderer [D] Sen. Robert Hasegawa [D], Sen. Guy Palumbo [D] Sen. Maralyn Chase [D] Sen. Sharon Nelson [D] Sen. David Frockt [D], Sen. Karen Keiser [D] Sen. Lisa Wellman [D] Sen. Jeannie Darneille [D] Sen. Mark Mullet [D], Sen. Andrew Billig [D] Sen. Jamie Pedersen [D] Sen. Christine Rolfes [D] Sen. Samuel Hunt [D], Sen. Marko Liias [D]</t>
  </si>
  <si>
    <t>SB 6882</t>
  </si>
  <si>
    <t>Sen. James Tedisco [R]	Sen. Kemp Hannon [R]	Sen. William Larkin [R]	Sen. Kathleen Marchione [R]</t>
  </si>
  <si>
    <t>SB 139</t>
  </si>
  <si>
    <t>Sen. Bryan Townsend [D]	Rep. Valerie Longhurst [D]	Sen. Catherine Cloutier [R]	Sen. Bruce Ennis [D]
Sen. Stephanie Hansen [D]	Sen. Margaret Henry [D]	Sen. Ernesto Lopez [R]	Sen. Nicole Poore [D]
Sen. Gary Simpson [R]	Sen. David Sokola [D]	Rep. Paul Baumbach [D]	Rep. Andria Bennett [D]
Rep. David Bentz [D]	Rep. Stephanie Bolden [D]	Rep. Gerald Brady [D]	Rep. William Carson [D]
Rep. Debra Heffernan [D]	Rep. Kevin Hensley [R]	Rep. Deborah Hudson [R]	Rep. Earl Jaques [D]
Rep. Helene Keeley [D]	Rep. Sean Lynn [D]	Rep. Sean Matthews [D]	Rep. John Mitchell [D]
Sen. Charles Paradee [D]	Rep. Melanie Smith [D]	Rep. Kimberly Williams [D]</t>
  </si>
  <si>
    <t>HB 2617</t>
  </si>
  <si>
    <t>Rep. Robyn Gabel [D]	Rep. Steven Andersson [R]	Sen. Laura Fine [D]	Rep. Jay Hoffman [D]
Rep. Michael Zalewski [D]	Rep. Kelly Cassidy [D]	Rep. Jaime Andrade [D]	Rep. Will Guzzardi [D]
Rep. Anna Moeller [D]	Rep. Lawrence Walsh [D]	Sen. Terri Bryant [R]	Rep. Justin Slaughter [D]
Sen. Michael Halpin [D]	Rep. Katie Stuart [D]	Rep. Camille Lilly [D]	Rep. Latoya Greenwood [D]
Rep. Silvana Tabares [D]	Rep. Deborah Conroy [D]	Rep. Marcus Evans [D]	Sen. Laura Murphy [D]
Sen. Cristina Castro [D]	Sen. Heather Steans [D]	Sen. Linda Holmes [D]	Sen. James Clayborne [D]
Sen. David Koehler [D]	Sen. Terry Link [D]	Sen. Julie Morrison [D]	Sen. Antonio Munoz [D]
Sen. Omar Aquino [D]	Sen. John Mulroe [D]</t>
  </si>
  <si>
    <t>HB 908</t>
  </si>
  <si>
    <t>Del. Joseline Pena-Melnyk [D]	Sen. Cory McCray [D]	Del. Angela Angel [D]	Del. Ben Barnes [D]
Del. Erek Barron [D]	Del. Eric Bromwell [D]	Del. Luke Clippinger [D]	Del. William Frick [D]
Sen. Antonio Hayes [D]	Del. Terri Hill [D]	Sen. Ariana Kelly [D]	Del. Marc Korman [D]
Del. Jazz Lewis [D]	Del. Maggie McIntosh [D]	Del. Marice Morales [D]	Del. Andrew Platt [D]
Del. Samuel Rosenberg [D]	Del. Sheree Sample-Hughes [D]	Del. Carlos Sanchez [D]	Sen. Karen Lewis Young [D]
Del. Pat Young [D]	Del. Shane Pendergrass [D]	Del. Bonnie Cullison [D]	Del. Nicholaus Kipke [R]
Del. Ric Metzgar [R]	Del. Christian Miele [R]	Del. Matt Morgan [R]	Del. Sid Saab [R]
Sen. Chris West [R]</t>
  </si>
  <si>
    <t>SB 151</t>
  </si>
  <si>
    <t>Sen. Margaret Henry [D], Sen. Bryan Townsend [D], Rep. Debra Heffernan [D], Sen. Catherine Cloutier [R], Sen. Stephanie Hansen [D], Sen. Nicole Poore [D], Sen. David Sokola [D], Rep. Paul Baumbach [D], Rep. David Bentz [D], Rep. Stephanie Bolden [D], Rep. James Johnson [D], Rep. Helene Keeley [D], Rep. John Kowalko [D], Rep. Sean Lynn [D], Sen. Charles Paradee [D], Rep. John Viola [D]</t>
  </si>
  <si>
    <t>HB 1015</t>
  </si>
  <si>
    <t>Rep. Paul Stearns [R], Rep. Brian Hubbell [D], Sen. Louis Luchini [D], Sen. Peter Lyford [R], Rep. Roger Reed [R]</t>
  </si>
  <si>
    <t xml:space="preserve"> SB 774</t>
  </si>
  <si>
    <t>Sen. Joanne Benson [D]</t>
  </si>
  <si>
    <t>HB 1822</t>
  </si>
  <si>
    <t>Rep. Mariellen MacKay [R], Rep. Jerry Knirk [D], Rep. Peter Schmidt [D], Rep. James MacKay [D], Rep. Richard Hinch [R], Rep. Donald LeBrun [R], Rep. Lynne Ober [R], Rep. William Marsh [D], Sen. Donna Soucy [D], Sen. John Reagan [R]</t>
  </si>
  <si>
    <t>HB 7625</t>
  </si>
  <si>
    <t>Rep. Katherine Kazarian [D], Rep. Teresa Tanzi [D], Rep. Kathleen Fogarty [D], Rep. Joy Hearn [D], Rep. Edith Ajello [D]</t>
  </si>
  <si>
    <t>SB 986</t>
  </si>
  <si>
    <t>Sen. Delores Kelley [D]</t>
  </si>
  <si>
    <t>SB 421</t>
  </si>
  <si>
    <t>Sen. Donna Soucy [D] Sen. Jeb Bradley [R] Sen. Daniel Innis [R] Sen. Bette Lasky [D], Rep. Mariellen MacKay [R] Rep. Peter Schmidt [D] Sen. Shannon Chandley [D] Rep. William Marsh [D]</t>
  </si>
  <si>
    <t>HB 1283</t>
  </si>
  <si>
    <t>Sen. Ariana Kelly [D], Del. Bilal Ali [D], Del. Curtis Anderson [D], Del. Angela Angel [D], Del. Vanessa Atterbeary [D], Del. Charles Barkley [D], Del. Ben Barnes [D], Del. Darryl Barnes [D], Del. Erek Barron [D], Del. Kumar Barve [D], Del. Talmadge Branch [D], Sen. Benjamin Brooks [D], Del. Alfred Carr [D], Del. Luke Clippinger [D], Del. Dereck Davis [D], Del. Kathleen Dumais [D], Del. Eric Ebersole [D], Del. Diana Fennell [D], Del. Bob Flanagan [R], Del. David Fraser-hidalgo [D], Del. William Frick [D], Del. Barbara Frush [D], Del. Tawanna Gaines [D], Del. Angela Gibson [D], Del. James Gilchrist [D], Del. Cheryl Glenn [D], Del. Ana Gutierrez [D], Sen. Antonio Hayes [D], Del. Keith Haynes [D], Sen. Shelly Hettleman [D], Del. Sheila Hixson [D], Del. Marvin Holmes [D], Del. Carolyn Howard [D], Del. Jay Jalisi [D], Del. Adrienne Jones [D], Del. Anne Kaiser [D], Del. Tony Knotts [D], Del. Marc Korman [D], Sen. Benjamin Kramer [D], Sen. Clarence Lam [D], Del. Jazz Lewis [D], Del. Robbyn Lewis [D], Del. Brooke Lierman [D], Del. Mary Ann Lisanti [D], Del. Eric Luedtke [D], Sen. Cory McCray [D], Del. Maggie McIntosh [D], Del. Aruna Miller [D], Del. David Moon [D], Del. Marice Morales [D], Del. Dan Morhaim [D], Del. Nick Mosby [D], Del. Edith Patterson [D], Del. Joseline Pena-Melnyk [D], Del. Andrew Platt [D], Del. Elizabeth Proctor [D], Del. Pamela Queen [D], Del. Kirill Reznik [D], Del. Shane Robinson [D], Del. Samuel Rosenberg [D], Del. Sheree Sample-Hughes [D], Del. Carlos Sanchez [D], Del. Dana Stein [D], Sen. Charles Sydnor [D], Del. James Tarlau [D], Del. Frank Turner [D], Del. Kriselda Valderrama [D], Sen. Jeff Waldstreicher [D], Sen. Alonzo Washington [D], Sen. Mary Washington [D], Del. Jheanelle Wilkins [D], Sen. Karen Lewis Young [D], Del. Pat Young [D], Del. Shane Pendergrass [D], Del. Bonnie Cullison [D], Del. Terri Hill [D], Del. Nicholaus Kipke [R], Del. Christian Miele [R]</t>
  </si>
  <si>
    <t>SB 2529</t>
  </si>
  <si>
    <t>Sen. Daniel DaPonte [D], Sen. William Conley [D], Sen. Ryan Pearson [D], Sen. Gayle Goldin [D], Sen. Louis Dipalma [D]</t>
  </si>
  <si>
    <t>HB 3391</t>
  </si>
  <si>
    <t>Rep. Jeff Barker [D], Rep. Jennifer Williamson [D], Rep. Julianne Fahey [D], Sen. Richard Devlin [D], Sen. Laurie Monnes Anderson [D], Rep. Teresa Alonso Leon [D], Rep. Deborah Boone [D], Rep. David Gomberg [D], Rep. Ken Helm [D], Rep. Diego Hernandez [D], Rep. Paul Holvey [D], Rep. Alissa Keny-Guyer [D], Rep. Ann Lininger [D], Rep. Sheri Malstrom Schouten [D], Rep. Pam Marsh [D], Rep. Susan McLain [D], Sen. Mark Meek [D], Rep. Robert Nosse [D], Rep. Carla Piluso [D], Rep. Karin Power [D], Rep. Dan Rayfield [D], Rep. Jeff Reardon [D], Rep. Tawna Sanchez [D], Rep. Barbara Warner [D], Sen. Janeen Sollman [D], Rep. Bradley Witt [D], Sen. Leslee Beyer [D], Sen. Michael Dembrow [D], Sen. Lew Frederick [D], Sen. Sara Gelser Blouin [D], Sen. James Manning [D], Sen. Floyd Prozanski [D], Sen. Charles Riley [D], Sen. Elizabeth Steiner Hayward [D], Sen. Kathleen Taylor [D]</t>
  </si>
  <si>
    <t>SB 1398</t>
  </si>
  <si>
    <t>Sen. Loretta Weinberg [D]	Sen. Nia Gill [D]	Rep. Pamela Lampitt [D]	Rep. Grace Spencer [D]
Rep. Valerie Huttle [D]	Sen. John McKeon [D]	Sen. Raj Mukherji [D]	Rep. Jamel Holley [D]
Rep. Marlene Caride [D]	Rep. Joann Downey [D]	Sen. Brian Stack [D]	Sen. Raymond Lesniak [D]
Sen. Nicholas Scutari [D]	Sen. Jennifer Beck [R]	Sen. Sandra Cunningham [D]	Sen. Teresa Ruiz [D]
Rep. Timothy Eustace [D]	Rep. Herbert Conaway [D]	Rep. Elizabeth Maher Muoio [D]	Rep. Arthur Barclay [D]
Rep. Joe Danielsen [D]	Rep. Gabriela Mosquera [D]</t>
  </si>
  <si>
    <t>er_dys_lim</t>
  </si>
  <si>
    <t>AB 9056</t>
  </si>
  <si>
    <t>No mandatory coverage for distribution of erectile dysfunction treatment.</t>
  </si>
  <si>
    <t>Herman Farrell, William Barclay, Fred Thiele, Jeffrion Aubry, Philip Boyle, Kevin Cahill, Daniel Burling,
William Colton, Nancy Calhoun, Vivian Cook, Clifford Crouch, Michael Cusick, Michael Fitzpatrick,
David Gantt, Stephen Hawley, Deborah Glick, James Hayes, Earlene Hill Hooper, Tony Jordan, Sam Hoyt,
Marcus Molinaro, Rhoda Jacobs, Lou Tobacco, Joseph Lentol, John McEneny, Joseph Morelle, Catherine Nolan,
Felix Ortiz, N. Nick Perry, J. Gary Pretlow, William Scarborough, Robin Schimminger, Mike Spano,
Helene Weinstein, Keith Wright</t>
  </si>
  <si>
    <t>AB 2007</t>
  </si>
  <si>
    <t>Helene Weinstein, Will Barclay, Jeffrion Aubry, Michael Benedetto, Ken Blankenbush, Ed Braunstein, Kevin Cahill, William Colton, Vivian Cook, Cliff Crouch, Mike Cusick, Jeffrey Dinowitz, Mike Fitzpatrick, David Gantt, Deborah Glick, Steve Hawley, Joe Lentol, Nicole Malliotakis, John McDonald, Mike Miller, Michael Montesano, Catherine Nolan, Mike Norris, Félix Ortiz, Phil Palmesano, Nick Perry, Gary Pretlow, Ed Ra, Phil Ramos, Robert Rodriguez, Nily Rozic, Robin Schimminger, Aravella Simotas, Fred Thiele, David Weprin</t>
  </si>
  <si>
    <t>SB 821</t>
  </si>
  <si>
    <t>Sen. Maryellen Goodwin [D]</t>
  </si>
  <si>
    <t xml:space="preserve">New York
</t>
  </si>
  <si>
    <t>Mandates abortion coverage</t>
  </si>
  <si>
    <t>Helene Weinstein Chair, J. Gary Pretlow, William Magnarelli, John T. McDonald III, Catherine Nolan, N. Nick Perry, Alicia Hyndman, Rebecca Seawright, David Weprin, Kenneth Zebrowski, Philip Ramos, Robert Rodriguez, Latoya Joyner, Jeffrion Aubry, Michael Benedetto, Edward Braunstein, Harry Bronson, Kevin Cahill, Deborah Glick, William Colton, Vivian Cook, Michael Cusick, Erik Dilan, Jeffrey Dinowitz, Nily Rozic, Michael J. Norris, Philip Palmesano, Edward Ra, Stephen Hawley, Jacob Ashby, Kevin M. Byrne, Kenneth Blankenbush, Karl Brabenec, Michael Fitzpatrick</t>
  </si>
  <si>
    <t>SB 513</t>
  </si>
  <si>
    <t>Sen. Rosalyn Baker [D], Sen. Lorraine Inouye [D], Sen. Michelle Kidani [D], Sen. Maile Shimabukuro [D], Sen. Jill Tokuda [D], Sen. Donna Kim [D]</t>
  </si>
  <si>
    <t>HB 2527</t>
  </si>
  <si>
    <t xml:space="preserve">Mandated insurance coverage for FDA-Approved and hormonal contraceptives with a prescription. </t>
  </si>
  <si>
    <t>Rep. Knute Buehler [R], Sen. Elizabeth Steiner Hayward [D], Rep. Jodi Hack [R], Rep. Alissa Keny-Guyer [D], Sen. Janeen Sollman [D], Sen. Laurie Monnes Anderson [D]</t>
  </si>
  <si>
    <t>Sen. Steven Hobbs [D], Sen. Rebecca Saldana [D], Sen. Manka Dhingra [D], Sen. Kevin Ranker [D], Sen. Reuven Carlyle [D], Sen. Dean Takko [D], Sen. Patty Kuderer [D], Sen. Robert Hasegawa [D], Sen. Guy Palumbo [D], Sen. Maralyn Chase [D], Sen. Sharon Nelson [D], Sen. David Frockt [D], Sen. Karen Keiser [D], Sen. Lisa Wellman [D], Sen. Jeannie Darneille [D], Sen. Mark Mullet [D], Sen. Andrew Billig [D], Sen. Jamie Pedersen [D], Sen. Christine Rolfes [D], Sen. Samuel Hunt [D], Sen. Marko Liias [D]</t>
  </si>
  <si>
    <t>Rep. Robyn Gabel [D], Rep. Steven Andersson [R], Sen. Laura Fine [D], Rep. Jay Hoffman [D], Rep. Michael Zalewski [D], Rep. Kelly Cassidy [D], Rep. Jaime Andrade [D], Rep. Will Guzzardi [D], Rep. Anna Moeller [D], Rep. Lawrence Walsh [D], Sen. Terri Bryant [R], Rep. Justin Slaughter [D], Sen. Michael Halpin [D], Rep. Katie Stuart [D], Rep. Camille Lilly [D], Rep. Latoya Greenwood [D], Rep. Silvana Tabares [D], Rep. Deborah Conroy [D], Rep. Marcus Evans [D], Sen. Laura Murphy [D], Sen. Cristina Castro [D], Sen. Heather Steans [D], Sen. Linda Holmes [D], Sen. James Clayborne [D], Sen. David Koehler [D], Sen. Terry Link [D], Sen. Julie Morrison [D], Sen. Antonio Munoz [D], Sen. Omar Aquino [D], Sen. John Mulroe [D]</t>
  </si>
  <si>
    <t>SB 1237</t>
  </si>
  <si>
    <t>Rep. Joyce McCreight [D] Sen. Roger Katz [R] Sen. Benjamin Chipman [D] Rep. Dale Denno [D], Rep. Michael Devin [D] Rep. Kimberly Monaghan-Derrig [D] Rep. Anne Perry [D] Sen. Denise Tepler [D], Rep. Maureen Terry [D]</t>
  </si>
  <si>
    <t>HB 1237</t>
  </si>
  <si>
    <t>AB 249</t>
  </si>
  <si>
    <t>Rep. Jason Frierson [D], Rep. Shannon Bilbray-Axelrod [D], Rep. Michael Sprinkle [D], Rep. Teresa Benitez-Thompson [D], Rep. Steve Yeager [D], Rep. Elliot Anderson [D], Rep. Nelson Araujo [D], Sen. Chris Brooks [D], Rep. Irene Bustamante Adams [D], Rep. Maggie Carlton [D], Rep. Richard Carrillo [D], Rep. Lesley Cohen [D], Sen. Richard Daly [D], Rep. Olivia Diaz [D], Sen. Edgar Flores [D], Rep. Ozzie Fumo [D], Rep. Sandra Jauregui [D], Rep. Amber Joiner [D], Rep. William McCurdy [D], Rep. Brittney Miller [D], Rep. Daniele Monroe-Moreno [D], Sen. Dina Neal [D], Sen. James Ohrenschall [D], Rep. Ellen Spiegel [D], Rep. Heidi Swank [D], Rep. Tyrone Thompson [D], Rep. Justin Watkins [D]</t>
  </si>
  <si>
    <t>AB 2297</t>
  </si>
  <si>
    <t>Rep. Valerie Huttle [D], Rep. Grace Spencer [D], Rep. Shavonda Sumter [D], Sen. Raj Mukherji [D], Rep. Marlene Caride [D], Rep. Joann Downey [D], Sen. Andrew Zwicker [D], Sen. Benjie Wimberly [D], Sen. Shirley Turner [D], Sen. Diane Allen [R], Rep. Elizabeth Maher Muoio [D], Sen. Gordon Johnson [D], Rep. Pamela Lampitt [D], Rep. Annette Quijano [D], Sen. John McKeon [D], Rep. John Wisniewski [D], Rep. Mila Jasey [D], Rep. Arthur Barclay [D], Sen. Sandra Cunningham [D], Sen. Robert Gordon [D], Sen. Teresa Ruiz [D], Sen. Angela Mcknight [D], Rep. Cleopatra Tucker [D], Rep. Craig Coughlin [D], Rep. Nicholas Chiaravalloti [D], Sen. Linda Greenstein [D]</t>
  </si>
  <si>
    <t>HB 2267</t>
  </si>
  <si>
    <t>Del. Eileen Filler-Corn [D], Del. Marcia Price [D], Sen. Lashrecse Aird [D], Del. David Albo [R], Del. Richard Anderson [R], Del. Terry Austin [R], Del. Robert Bloxom [R], Sen. Jennifer Boysko [D], Del. David Bulova [D], Del. Jeffrey Campbell [R], Del. Christopher Collins [R], Del. James Edmunds [R], Del. Matt Fariss [R], Del. Peter Farrell [R], Del. Hyland Fowler [R], Del. Scott Garrett [R], Del. Thomas Greason [R], Del. Charniele Herring [D], Del. Daun Hester [D], Del. Rocky Holcomb [R], Del. Patrick Hope [D], Del. Timothy Hugo [R], Del. Riley Ingram [R], Del. Chris Jones [R], Del. Mark Keam [D], Del. Barry Knight [R], Del. Kaye Kory [D], Del. Steven Landes [R], Del. James Leftwich [R], Del. James LeMunyon [R], Del. Mark Levine [D], Del. Scott Lingamfelter [R], Del. Alfonso Lopez [D], Del. George Loupassi [R], Del. Daniel Marshall [R], Del. James Massie [R], Del. Jackson Miller [R], Del. Randall Minchew [R], Del. Jason Miyares [R], Del. Kathleen Murphy [D], Del. Israel O'Quinn [R], Del. Robert Orrock [R], Del. Kenneth Plum [D], Del. Brenda Pogge [R], Del. Charles Poindexter [R], Del. Margaret Ransone [R], Del. Sam Rasoul [D], Del. Roxann Robinson [R], Del. Mark Sickles [D], Del. Marcus Simon [D], Del. Christopher Stolle [R], Del. Richard Sullivan [D], Del. David Toscano [D], Del. Roslyn Tyler [D], Del. Ron Villanueva [R], Del. Jeion Ward [D], Del. Vivian Watts [D], Del. Tony Wilt [R], Del. David Yancey [R]</t>
  </si>
  <si>
    <t>HB 1234</t>
  </si>
  <si>
    <t>Sen. June Robinson [D], Rep. Kristine Lytton [D], Rep. Tana Senn [D], Sen. Noel Frame [D], Rep. Beth Doglio [D], Rep. Gael Tarleton [D], Sen. Drew Hansen [D], Rep. Laurie Jinkins [D], Rep. Eileen Cody [D], Rep. Lillian Ortiz-Self [D], Sen. Marcus Riccelli [D], Rep. Melanie Stambaugh [R], Rep. Nicole Macri [D], Rep. Gerry Pollet [D], Rep. Steve Tharinger [D], Rep. Judith Clibborn [D], Rep. Monica Stonier [D], Rep. Michelle Caldier [R], Rep. Michael Sells [D], Rep. Mia Gregerson [D], Rep. Sharon Wylie [D], Rep. Christine Kilduff [D], Rep. Joan Mcbride [D], Rep. Roger Goodman [D], Rep. Steve Bergquist [D], Rep. Timm Ormsby [D], Sen. Derek Stanford [D], Sen. Vandana Slatter [D], Rep. Shelley Kloba [D]</t>
  </si>
  <si>
    <t>Requires abortion coverage in all private plans, including ACA Marketplace plans: 2019</t>
  </si>
  <si>
    <t>HB 214</t>
  </si>
  <si>
    <t>Marketplace Limitations: 2018</t>
  </si>
  <si>
    <t>Rep. John Smithee [R] Rep. Larry Phillips [R] Rep. Greg Bonnen [R] Rep. Dennis Bonnen [R], Rep. Jodie Laubenberg [R] Rep. Charles Anderson [R] Rep. Rodney Anderson [R] Rep. Cecil Bell [R], Rep. Kyle Biedermann [R] Rep. Dwayne Bohac [R] Rep. Cindy Burkett [R] Rep. Dewayne Burns [R], Rep. Dustin Burrows [R] Rep. Angie Button [R] Rep. Briscoe Cain [R] Rep. Giovanni Capriglione [R], Rep. Travis Clardy [R] Rep. Scott Cosper [R] Rep. John Cyrier [R] Rep. Jay Dean [R], Rep. Gary Elkins [R] Rep. Wayne Faircloth [R] Sen. Pat Fallon [R] Rep. Dan Flynn [R], Rep. James Frank [R] Rep. John Frullo [R] Rep. Craig Goldman [R] Rep. Lance Gooden [R], Rep. Cole Hefner [R] Rep. Justin Holland [R] Rep. Dan Huberty [R] Rep. Jason Isaac [R], Rep. Kyle Kacal [R] Rep. Mark Keough [R] Sen. Phil King [R] Rep. Stephanie Klick [R], Rep. Matt Krause [R] Rep. Stan Lambert [R] Rep. Brooks Landgraf [R] Rep. Mike Lang [R], Rep. Jeff Leach [R] Rep. J.M. Lozano [R] Rep. William Metcalf [R] Rep. Morgan Meyer [R], Rep. Rick Miller [R] Rep. Jim Murphy [R] Rep. Andrew Murr [R] Rep. Tom Oliverson [R], Rep. Chris Paddie [R] Sen. Tan Parker [R] Rep. Dennis Paul [R] Rep. Dade Phelan [R], Rep. Four Price [R] Rep. Matt Rinaldi [R] Rep. Kevin Roberts [R] Rep. Scott Sanford [R], Rep. Matt Schaefer [R] Rep. Mike Schofield [R] Rep. Leighton Schubert [R] Rep. Matthew Shaheen [R], Rep. J.D. Sheffield [R] Rep. Hugh Shine [R] Rep. Ron Simmons [R] Sen. Drew Springer [R], Rep. Phil Stephenson [R] Rep. Jonathan Stickland [R] Rep. Lynn Stucky [R] Rep. Valoree Swanson [R], Rep. Ed Thompson [R] Rep. Tony Tinderholt [R] Rep. Gary Vandeaver [R] Rep. Jason Villalba [R], Rep. James White [R] Rep. Terry Wilson [R] Rep. Paul Workman [R] Rep. John Wray [R], Rep. William Zedler [R] Rep. John Zerwas [R] Sen. Charles Creighton [R] Sen. Bob Hall [R]</t>
  </si>
  <si>
    <t>HB 2879</t>
  </si>
  <si>
    <t xml:space="preserve"> Mitch Greenlick, Cedric Hayden, Rob Nosse, Knute Buehler, Brian Clem, Bill Kennemer, Alissa Keny-Guyer, Jim Weidner, John Lively</t>
  </si>
  <si>
    <t>HB 620</t>
  </si>
  <si>
    <t>Rep. Ann Pugh [D]	Rep. Timothy Briglin [D]	Rep. Mollie Burke [D]	Rep. Sarah Buxton [D]
Rep. Sarah Copeland-Hanzas [D]	Rep. Helen Head [D]	Rep. Mary Hooper [D]	Rep. Patricia Komline [R]
Rep. Jill Krowinski [D]	Rep. Michael Mrowicki [D]	Sen. Christopher Pearson [D]	Rep. Laura Sibilia [I]
Rep. Thomas Stevens [D]	Rep. George Till [D]	Rep. Tristan Toleno [D]</t>
  </si>
  <si>
    <t>SB 1</t>
  </si>
  <si>
    <t>Sen. Cheryl Kagan [D</t>
  </si>
  <si>
    <t>SB 2319</t>
  </si>
  <si>
    <t>Sen. Michelle Kidani [D], Sen. Rosalyn Baker [D], Sen. Suzanne Chun Oakland [D], Sen. Josh Green [D], Sen. Lorraine Inouye [D], Sen. Maile Shimabukuro [D], Sen. Jill Tokuda [D], Sen. William Espero [D], Sen. Les Ihara [D]</t>
  </si>
  <si>
    <t>HB 5576</t>
  </si>
  <si>
    <t>Rep. Elaine Nekritz [D], Rep. Litesa Wallace [D], Rep. Silvana Tabares [D], Sen. Sara Feigenholtz [D], Rep. Martin Moylan [D], Rep. Robyn Gabel [D], Rep. Jaime Andrade [D], Rep. Carol Ammons [D], Rep. Kelly Cassidy [D], Rep. Emanuel Welch [D], Sen. Laura Fine [D], Sen. Robert Martwick [D], Rep. William Davis [D], Rep. Camille Lilly [D], Rep. Will Guzzardi [D], Rep. Cynthia Soto [D], Rep. Elizabeth Hernandez [D], Rep. Anna Moeller [D], Rep. Christian Mitchell [D], Rep. Rita Mayfield [D], Rep. Scott Drury [D], Rep. Ann Williams [D], Rep. Linda LaVia [D], Rep. Natalie Manley [D], Rep. Daniel Burke [D], Rep. Luis Arroyo [D], Rep. Gregory Harris [D], Rep. Sam Yingling [D], Rep. Michelle Mussman [D], Rep. Sonya Harper [D], Rep. Carol Sente [D], Rep. Emily McAsey [D], Sen. Toi Hutchinson [D], Sen. Kimberly Lightford [D], Sen. Heather Steans [D], Sen. Jacqueline Collins [D], Sen. Melinda Bush [D], Sen. Laura Murphy [D], Sen. Patricia Van Pelt [D], Sen. Julie Morrison [D], Sen. Linda Holmes [D], Sen. Don Harmon [D], Sen. Daniel Biss [D], Sen. Iris Martinez [D], Sen. Michael Hastings [D], Sen. Emil Jones [D], Sen. Mattie Hunter [D], Sen. William Delgado [D], Sen. Martin Sandoval [D]</t>
  </si>
  <si>
    <t>SB 848</t>
  </si>
  <si>
    <t>Sen. Delores Kelley [D], Sen. Richard Madaleno [D], Sen. John Astle [D], Sen. Joanne Benson [D], Sen. James Brochin [D], Sen. Joan Conway [D], Sen. Ulysses Currie [D], Sen. Brian Feldman [D], Sen. William Ferguson [D], Sen. Lisa Gladden [D], Sen. Guy Guzzone [D], Sen. Cheryl Kagan [D], Sen. Nancy King [D], Sen. Katherine Klausmeier [D], Sen. Susan Lee [D], Sen. Roger Manno [D], Sen. Nathaniel McFadden [D], Sen. Shirley Nathan-Pulliam [D], Sen. Paul Pinsky [D], Sen. Catherine Pugh [D], Sen. Victor Ramirez [D], Sen. Jamin Raskin [D], Sen. Ronald Young [D], Sen. Craig Zucker [D]</t>
  </si>
  <si>
    <t>HB 1005</t>
  </si>
  <si>
    <t xml:space="preserve">Sen. Ariana Kelly [D]	Del. Curtis Anderson [D]	Del. Angela Angel [D]	Del. Vanessa Atterbeary [D]
Del. Charles Barkley [D]	Del. Ben Barnes [D]	Del. Erek Barron [D]	Del. Kumar Barve [D]
Del. Talmadge Branch [D]	Sen. Benjamin Brooks [D]	Del. Michael Busch [D]	Del. Alfred Carr [D]
Del. Luke Clippinger [D]	Del. Bonnie Cullison [D]	Del. Dereck Davis [D]	Del. Kathleen Dumais [D]
Del. Eric Ebersole [D]	Del. Diana Fennell [D]	Del. David Fraser-hidalgo [D]	Del. William Frick [D]
Del. Barbara Frush [D]	Del. Tawanna Gaines [D]	Del. James Gilchrist [D]	Del. Cheryl Glenn [D]
Del. Ana Gutierrez [D]	Sen. Shelly Hettleman [D]	Del. Terri Hill [D]	Del. Sheila Hixson [D]
Del. Marvin Holmes [D]	Sen. Michael Jackson [D]	Del. Adrienne Jones [D]	Del. Anne Kaiser [D]
Del. Marc Korman [D]	Sen. Benjamin Kramer [D]	Del. Carol Krimm [D]	Del. Stephen Lafferty [D]
Sen. Clarence Lam [D]	Del. Brooke Lierman [D]	Del. Mary Ann Lisanti [D]	Del. Eric Luedtke [D]
Sen. Cory McCray [D]	Del. Maggie McIntosh [D]	Del. Aruna Miller [D]	Del. David Moon [D]
Del. Marice Morales [D]	Del. Dan Morhaim [D]	Sen. Nathaniel Oaks [D]	Del. Edith Patterson [D]
Del. Joseline Pena-Melnyk [D]	Del. Shane Pendergrass [D]	Del. Andrew Platt [D]	Del. Kirill Reznik [D]
Sen. Barbara Robinson [D]	Del. Shane Robinson [D]	Del. Samuel Rosenberg [D]	Del. Sheree Sample-Hughes [D]
Del. Carlos Sanchez [D]	Sen. William Smith [D]	Del. James Tarlau [D]	Del. Frank Turner [D]
Del. Kriselda Valderrama [D]	Del. Joseph Vallario [D]	Del. Michael Vaughn [D]	Sen. Jeff Waldstreicher [D]
Del. Jay Walker [D]	Sen. Alonzo Washington [D]	Sen. Mary Washington [D]	Sen. Karen Lewis Young [D]
Del. Pat Young [D]	Del. Peter Hammen [D]	Del. Eric Bromwell [D]	</t>
  </si>
  <si>
    <t>Rep. Ann Pugh [D], Rep. Timothy Briglin [D], Rep. Mollie Burke [D], Rep. Sarah Buxton [D], Rep. Sarah Copeland-Hanzas [D], Rep. Helen Head [D], Rep. Mary Hooper [D], Rep. Patricia Komline [R], Rep. Jill Krowinski [D], Rep. Michael Mrowicki [D], Sen. Christopher Pearson [D], Rep. Laura Sibilia [I], Rep. Thomas Stevens [D], Rep. George Till [D], Rep. Tristan Toleno [D]</t>
  </si>
  <si>
    <t>SB 999</t>
  </si>
  <si>
    <t>Mandated insurance coverage for 12-month hormonal contraceptives.</t>
  </si>
  <si>
    <t>Sen. Fran Pavley [D], Sen. Bob Hertzberg [D], Sen. Toni Atkins [D], Asm. Jimmy Gomez [D], Asm. Lorena Gonzalez Fletcher [D], Sen. Benjamin Allen [D], Sen. Jim Beall [D], Sen. Marty Block [D], Sen. Isadore Hall [D], Sen. Jerry Hill [D], Sen. Hannah-Beth Jackson [D], Sen. Connie Leyva [D], Sen. Bob Wieckowski [D], Sen. Lois Wolk [D], Asm. Susan Bonilla [D], Asm. Autumn Burke [D], Asm. Nora Campos [D], Asm. David Chiu [D], Asm. Matt Dababneh [D], Sen. Bill Dodd [D], Sen. Susan Eggman [D], Asm. Cristina Garcia [D], Asm. Mike Gipson [D], Asm. Jacqui Irwin [D], Asm. Marc Levine [D], Asm. Kevin McCarty [D], Asm. Mark Stone [D], Asm. Shirley Weber [D], Asm. Das Williams [D]</t>
  </si>
  <si>
    <t>Rep. Elaine Nekritz [D]	Rep. Litesa Wallace [D]	Rep. Silvana Tabares [D]	Sen. Sara Feigenholtz [D]
Rep. Martin Moylan [D]	Rep. Robyn Gabel [D]	Rep. Jaime Andrade [D]	Rep. Carol Ammons [D]
Rep. Kelly Cassidy [D]	Rep. Emanuel Welch [D]	Sen. Laura Fine [D]	Sen. Robert Martwick [D]
Rep. William Davis [D]	Rep. Camille Lilly [D]	Rep. Will Guzzardi [D]	Rep. Cynthia Soto [D]
Rep. Elizabeth Hernandez [D]	Rep. Anna Moeller [D]	Rep. Christian Mitchell [D]	Rep. Rita Mayfield [D]
Rep. Scott Drury [D]	Rep. Ann Williams [D]	Rep. Linda LaVia [D]	Rep. Natalie Manley [D]
Rep. Daniel Burke [D]	Rep. Luis Arroyo [D]	Rep. Gregory Harris [D]	Rep. Sam Yingling [D]
Rep. Michelle Mussman [D]	Rep. Sonya Harper [D]	Rep. Carol Sente [D]	Rep. Emily McAsey [D]
Sen. Toi Hutchinson [D]	Sen. Kimberly Lightford [D]	Sen. Heather Steans [D]	Sen. Jacqueline Collins [D]
Sen. Melinda Bush [D]	Sen. Laura Murphy [D]	Sen. Patricia Van Pelt [D]	Sen. Julie Morrison [D]
Sen. Linda Holmes [D]	Sen. Don Harmon [D]	Sen. Daniel Biss [D]	Sen. Iris Martinez [D]
Sen. Michael Hastings [D]	Sen. Emil Jones [D]	Sen. Mattie Hunter [D]	Sen. William Delgado [D]
Sen. Martin Sandoval [D]</t>
  </si>
  <si>
    <t>Pennsylvania</t>
  </si>
  <si>
    <t>SB 609</t>
  </si>
  <si>
    <t>Sen. Robert Mensch [R]	Sen. Wayne Fontana [D]	Sen. Stewart Greenleaf [R]	Sen. David Argall [R]
Rep. Matthew Smith [D]	Sen. John Rafferty [R]	Sen. Joseph Scarnati [R]	Sen. Jay Costa [D]
Sen. Randy Vulakovich [R]	Sen. John Yudichak [R]	Sen. Charles McIlhinney [R]	Sen. Patricia Vance [R]
Sen. John Blake [D]	Sen. Arthur Haywood [D]	Sen. Andrew Dinniman [D]	Sen. Vincent Hughes [D]
Sen. Anthony Williams [D]	Sen. Patrick Browne [R]</t>
  </si>
  <si>
    <t>SB 1764</t>
  </si>
  <si>
    <t>Sen. Don Harmon [D]	Rep. Camille Lilly [D]	Sen. Sara Feigenholtz [D]	Rep. Cynthia Soto [D]
Rep. Jehan Gordon-Booth [D]</t>
  </si>
  <si>
    <t>SB 416</t>
  </si>
  <si>
    <t>Mandates insurance coverage for diagnosis and treatment of infertility and fertility services for same-sex couples.</t>
  </si>
  <si>
    <t>Sen. Cheryl Kagan [D]	Sen. Joan Conway [D]	Sen. Ulysses Currie [D]	Sen. Brian Feldman [D]
Sen. William Ferguson [D]	Sen. Guy Guzzone [D]	Sen. Delores Kelley [D]	Sen. Nancy King [D]
Sen. Susan Lee [D]	Sen. Richard Madaleno [D]	Sen. Roger Manno [D]	Sen. Nathaniel McFadden [D]
Sen. Karen Montgomery [D]	Sen. Paul Pinsky [D]	Sen. Catherine Pugh [D]	Sen. Jamin Raskin [D]
Sen. Jim Rosapepe [D]	Sen. Stephen Waugh [R]	Sen. Ronald Young [D]</t>
  </si>
  <si>
    <t>HB 3343</t>
  </si>
  <si>
    <t>Rep. Jessica Pederson [D], Sen. Floyd Prozanski [D], Rep. Jennifer Williamson [D], Sen. Charles Riley [D], Rep. Alissa Keny-Guyer [D], Sen. Elizabeth Steiner Hayward [D], Rep. Barbara Warner [D], Sen. Alan Bates [D], Sen. Brian Boquist [I], Sen. Ginny Burdick [D], Sen. Michael Dembrow [D], Sen. Ted Ferrioli [R], Sen. Sara Gelser Blouin [D], Sen. Fred Girod [R], Sen. Mark Hass [D], Sen. Tim Knopp [R], Sen. Jeff Kruse [R], Sen. Laurie Monnes Anderson [D], Rep. Jeff Barker [D], Sen. Rod Monroe [D], Rep. Philip Barnhart [D], Sen. Diane Rosenbaum [D], Rep. Brent Barton [D], Sen. William Shields [D], Rep. Deborah Boone [D], Sen. Chuck Thomsen [R], Rep. Peter Buckley [D], Sen. Jackie Winters [R], Rep. Brian Clem [D], Rep. John Davis [R], Rep. Margaret Doherty [D], Sen. Shemia Fagan [D], Sen. Lew Frederick [D], Rep. Joe Gallegos [D], Rep. David Gomberg [D], Sen. Chris Gorsek [D], Rep. Mitch Greenlick [D], Rep. Jodi Hack [R], Rep. Ken Helm [D], Rep. Paul Holvey [D], Rep. Val Hoyle [D], Rep. Betty Komp [D], Rep. Tina Kotek [D], Rep. Ann Lininger [D], Rep. John Lively [D], Rep. Susan McLain [D], Rep. Robert Nosse [D], Rep. Carla Piluso [D], Rep. Dan Rayfield [D], Rep. Tobias Read [D], Rep. Jeff Reardon [D], Sen. Kathleen Taylor [D], Rep. Bradley Witt [D]</t>
  </si>
  <si>
    <t>SB 1318</t>
  </si>
  <si>
    <t>Strengthened SB 1305’s restrictions by adding an abortion reversal counseling requirement and increasing state oversight.</t>
  </si>
  <si>
    <t>Sen. Nancy Barto [R], Sen. Sylvia Allen [R], Rep. Judy Burges [R], Sen. John Kavanagh [R], Sen. Debbie Lesko [R], Sen. Don Shooter [R], Rep. John Allen [R], Sen. Paul Boyer [R], Sen. Anthony Kern [R], Rep. Steve Montenegro [R], Rep. Justin Olson [R], Sen. Warren Petersen [R], Sen. Kelly Townsend [R], Sen. Jeff Dial [R], Sen. David Farnsworth [R], Rep. Gail Griffin [R], Sen. Catherine Miranda [D], Rep. Stephen Pierce [R], Sen. Kelli Ward [R], Sen. Bob Worsley [R], Sen. Kimberly Yee [R], Rep. Russell Bowers [R], Sen. Mark Finchem [R], Sen. Linda Gray [R], Sen. Vince Leach [R], Rep. David Livingston [R], Sen. Javan Mesnard [R], Sen. Thomas Shope [R]</t>
  </si>
  <si>
    <t>HB 192</t>
  </si>
  <si>
    <t>Rep. Raymond Ward [R]	Sen. Curtis Bramble [R]</t>
  </si>
  <si>
    <t>HB 731</t>
  </si>
  <si>
    <t>Rep. Scott Plakon [R]</t>
  </si>
  <si>
    <t>HB 1615</t>
  </si>
  <si>
    <t>No mandatory coverage for emergency distribution of erectile dysfunction treatment.</t>
  </si>
  <si>
    <t>Rep. Kermit Williams [D]	Rep. Donna Schlachman [D]	Sen. Donna Soucy [D]</t>
  </si>
  <si>
    <t xml:space="preserve">SB 98 </t>
  </si>
  <si>
    <t>Marketplace Limitations: 2014</t>
  </si>
  <si>
    <t>Sen. Judson Hill [R], Sen. Steve Gooch [R], Sen. Butch Miller [R], Sen. Bill Heath [R], Sen. William Ligon [R], Sen. Barry Loudermilk [R], Rep. Darlene Taylor [R]</t>
  </si>
  <si>
    <t>North Carolina</t>
  </si>
  <si>
    <t>SB 402</t>
  </si>
  <si>
    <t>Sen. Peter Brunstetter [R]	Sen. Harry Brown [R]	Sen. Neal Hunt [R]</t>
  </si>
  <si>
    <t>HB 1100</t>
  </si>
  <si>
    <t>Marketplace Limitations:  2013</t>
  </si>
  <si>
    <t>Rep. Butch Wilkins [D], Sen. Cecile Bledsoe [R], Rep. Duncan Baird [R], Rep. David Meeks [R], Rep. Gary Deffenbaugh [R], Rep. Joe Farrer [R], Rep. Bill Gossage [R], Rep. Justin Harris [R], Rep. John Burris [R], Rep. Jody Dickinson [D], Rep. Homer Lenderman [D], Rep. Mark Lowery [R], Rep. Stephen Magie [D], Rep. Josh Miller [R], Sen. John Payton [R], Rep. James Ratliff [D], Rep. Chris Richey [D], Rep. Tommy Thompson [D], Rep. Jeff Wardlaw [R]</t>
  </si>
  <si>
    <t>SB 353</t>
  </si>
  <si>
    <t>Sen. Kathryn Harrington [R], Sen. Warren Daniel [R], Sen. James Davis [R], Sen. William Rabon [R], Sen. Daniel Soucek [R]</t>
  </si>
  <si>
    <t>HB 818</t>
  </si>
  <si>
    <t>Rep. Donna Oberlander [R], Rep. Daryl Metcalfe [R], Rep. John Lawrence [R], Rep. George Dunbar [R], Rep. David Millard [R], Rep. Matthew Baker [R], Rep. Paul Clymer [R], Rep. Jerry Stern [R], Sen. Ryan Aument [R], Rep. Stephen Bloom [R], Rep. Kathy Rapp [R], Rep. Stephen Barrar [R], Rep. Robert Kauffman [R], Rep. Stanley Saylor [R], Rep. Christopher Harris [R], Rep. RoseMarie Swanger [R], Rep. Bryan Cutler [R], Rep. Richard Stevenson [R], Rep. Will Tallman [R], Rep. Dick Hess [R], Rep. Joseph Emrick [R], Rep. Thomas Mustio [R], Rep. Thomas Caltagirone [D], Rep. Dan Moul [R], Rep. Gordon Denlinger [R], Rep. Jim Cox [R], Rep. Mark Gillen [R], Sen. Michele Brooks [R], Rep. Matthew Gabler [R], Rep. Gary Day [R], Rep. Glen Grell [R], Rep. Todd Rock [R], Rep. Timothy Krieger [R], Rep. Jerome Knowles [R], Rep. David Hickernell [R], Rep. Frederick Keller [R], Rep. Timothy Hennessey [R], Rep. John McGinnis [R], Rep. Mauree Gingrich [R], Rep. Marcia Hahn [R], Rep. Katharine Watson [R], Rep. Mark Keller [R], Rep. Karen Boback [R], Rep. Susan Helm [R], Rep. Martin Causer [R], Rep. Richard Saccone [R], Rep. Harold James [D]</t>
  </si>
  <si>
    <t>South Carolina</t>
  </si>
  <si>
    <t>SB 102</t>
  </si>
  <si>
    <t>Marketplace Limitations:  2012</t>
  </si>
  <si>
    <t>Sen. George Campsen [R], Sen. Michael Fair [R], Sen. Lawrence Grooms [R], Sen. Danny Verdin [R]</t>
  </si>
  <si>
    <t>South Dakota</t>
  </si>
  <si>
    <t>HB 1185</t>
  </si>
  <si>
    <t>Sen. Corey Brown [R], Rep. Bob Deelstra [R], Rep. Brian Gosch [R], Rep. Jon Hansen [R], Rep. Steve Hickey [R], Rep. Roger Hunt [R], Sen. Stace Nelson [R], Sen. Jenna Netherton [R], Sen. Betty Olson [R], Rep. Val Rausch [R], Rep. Shawn Tornow [R], Rep. Hal Wick [R]</t>
  </si>
  <si>
    <t>Wisconsin</t>
  </si>
  <si>
    <t xml:space="preserve">SB 92 </t>
  </si>
  <si>
    <t>Sen. Rich Zipperer [R], Sen. Joe Leibham [R], Sen. Robert Cowles [R], Sen. Pamela Galloway [R], Sen. Randy Hopper [R], Sen. Dan Kapanke [R], Sen. Neal Kedzie [R], Sen. Mary Lazich [R], Sen. Terry Moulton [R], Sen. Van Wanggaard [R], Rep. Robin Vos [R], Sen. Andre Jacque [R], Sen. Joan Ballweg [R], Rep. Ed Brooks [R], Rep. Michael Endsley [R], Sen. Paul Farrow [R], Rep. Mark Honadel [R], Sen. Chris Kapenga [R], Rep. Samantha Kerkman [R], Rep. Steve Kestell [R], Rep. Joel Kleefisch [R], Sen. Dale Kooyenga [R], Rep. Mike Kuglitsch [R], Rep. Daniel LeMahieu [R], Sen. Steve Nass [R], Rep. John Nygren [R], Rep. Alvin Ott [R], Rep. Jim Ott [R], Rep. Kevin Petersen [R], Rep. Donald Pridemore [R], Rep. Erik Severson [R], Rep. Richard Spanbauer [R], Rep. Jim Steineke [R], Rep. Jeremy Thiesfeldt [R], Rep. Karl Van Roy [R], Rep. Chad Weininger [R], Rep. Mary Williams [R], Rep. Evan Wynn [R], Rep. Bob Ziegelbauer [I]</t>
  </si>
  <si>
    <t>CB 396</t>
  </si>
  <si>
    <t>Mandates insurance coverage for treatment and screening of prostate cancer.</t>
  </si>
  <si>
    <t>Rep. Joseph Aresimowicz [D]        Rep. David Baram [D]        Rep. Elizabeth Boukus [D]        Sen. Stephen Cassano [D]
Sen. Joseph Crisco [D]        Rep. Paul Davis [D]        Sen. Mae Flexer [D]        Sen. Edwin Gomes [D]
Rep. Gregory Haddad [D]        Sen. Toni Harp [D]             Rep. David Kiner [D]
Sen. John Kissel [R]        Sen. Martin Looney [D]        Sen. Edward Meyer [D]        Rep. Russell Morin [D]
Sen. Edith Prague [D]        Sen. Gayle Slossberg [D]        Sen. Donald Williams [D]        Rep. Bruce Zalaski [D]</t>
  </si>
  <si>
    <t>AB 7779</t>
  </si>
  <si>
    <t>Mandates insurance coverage for mail-order fertility drugs.</t>
  </si>
  <si>
    <t>Asm. Sheldon Silver [D]	Asm. Steven Cymbrowitz [D]	Asm. Helene Weinstein [D]	Asm. Rhoda Jacobs [D]
Asm. Charles Lavine [D]	Asm. Peter Abbate [D]	Asm. Edward Braunstein [D]	Asm. Alec Brook-Krasny [D]
Asm. Ellen Jaffee [D]	Asm. Kenneth Zebrowski [D]</t>
  </si>
  <si>
    <t>er_dys_man</t>
  </si>
  <si>
    <t xml:space="preserve"> AB 97</t>
  </si>
  <si>
    <t>Mandates insurance coverage for erectile dysfunction treatment.</t>
  </si>
  <si>
    <t>Asm. Luis Alejo [D]	Asm. Michael Allen [D]	Asm. Robert Blumenfield [D]	Asm. Julia Brownley [D]
Asm. Joan Buchanan [D]	Asm. Betsy Butler [D]	Asm. Gilbert Cedillo [D]	Asm. Wesley Chesbro [D]
Asm. Roger Dickinson [D]	Asm. Mike Feuer [D]	Asm. Richard Gordon [D]	Asm. Jared Huffman [D]
Sen. Holly Mitchell [D]	Sen. William Monning [D]	Asm. Sandre Swanson [D]</t>
  </si>
  <si>
    <t>Rep. Joseph Aresimowicz [D]	Rep. David Baram [D]	Rep. Elizabeth Boukus [D]	Sen. Stephen Cassano [D]
Sen. Joseph Crisco [D]	Rep. Paul Davis [D]	Sen. Mae Flexer [D]	Sen. Edwin Gomes [D]
Rep. Gregory Haddad [D]	Sen. Toni Harp [D]	House Insurance and Real Estate Committee	Rep. David Kiner [D]
Sen. John Kissel [R]	Sen. Martin Looney [D]	Sen. Edward Meyer [D]	Rep. Russell Morin [D]
Sen. Edith Prague [D]	Sen. Gayle Slossberg [D]	Sen. Donald Williams [D]	Rep. Bruce Zalaski [D]</t>
  </si>
  <si>
    <t>Nebraska</t>
  </si>
  <si>
    <t>LB 22</t>
  </si>
  <si>
    <t>Sen. Beau McCoy [N]</t>
  </si>
  <si>
    <t>North Dakota</t>
  </si>
  <si>
    <t>HB 1297</t>
  </si>
  <si>
    <t>Sen. Spencer Berry [R], Sen. Randel Christmann [R], Rep. Bette Grande [R], Sen. David Hogue [R], Rep. Robert Kilichowski [D], Rep. Ralph Metcalf [D]</t>
  </si>
  <si>
    <t>Ohio</t>
  </si>
  <si>
    <t>HB 79</t>
  </si>
  <si>
    <t>Rep. John Adams [R], Rep. Richard Adams [R], Rep. Ron Amstutz [R], Sen. Kevin Bacon [R], Rep. William Batchelder [R], Rep. Peter Beck [R], Rep. Terry Blair [R], Rep. Terry Boose [R], Sen. Andrew Brenner [R], Rep. Danny Bubp [R], Rep. Jim Buchy [R], Sen. Dave Burke [R], Sen. Dave Burke [R], Rep. James Butler [R], Rep. John Carey [R], Sen. William Coley [R], Rep. Courtney Combs [R], Rep. Margaret Conditt [R], Rep. Timothy Derickson [R], Rep. Michael Dovilla [R], Sen. John Eklund [R], Rep. Keith Faber [R], Sen. Randall Gardner [R], Rep. Bruce Goodwin [R], Rep. Cheryl Grossman [R], Sen. Robert Hackett [R], Rep. Christina Hagan [R], Rep. David Hall [R], Rep. Bill Hayes [R], Rep. Michael Henne [R], Sen. Cliff Hite [R], Sen. Jay Hottinger [R], Rep. Matt Huffman [R], Sen. Terry Johnson [R], Sen. Shannon Jones [R], Rep. Kris Jordan [R], Rep. Ron Maag [R], Rep. Jarrod Martin [R], Rep. Jeffrey McClain [R], Rep. Robery Mecklenborg [R], Rep. Craig Newbold [R], Rep. Scott Oelslager [R], Sen. Kristina Roegner [R], Rep. Clifford Rosenberger [R], Rep. Margaret Ruhl [R], Sen. Timothy Schaffer [R], Rep. Barbara Sears [R], Rep. Lynn Slaby [R], Rep. Peter Stautberg [R], Rep. Andy Thompson [R], Sen. Joseph Uecker [R], Rep. Lynn Wachtmann [R], Sen. Mark Wagoner [R], Sen. Christopher Widener [R], Rep. Ron Young [R]</t>
  </si>
  <si>
    <t xml:space="preserve">SB 547 </t>
  </si>
  <si>
    <t>Rep. David Brumbaugh [R], Rep. Mike Christian [R], Rep. David Derby [R], Rep. George Faught [R], Sen. Rob Johnson [R], Rep. Sally Kern [R], Rep. Pam Peterson [R], Sen. Jim Reynolds [R], Rep. Mike Ritze [R], Sen. Anthony Sykes [R]</t>
  </si>
  <si>
    <t>No insurance coverage for sex-reassignment surgery.</t>
  </si>
  <si>
    <t>Sen. Linda Berglin [D]</t>
  </si>
  <si>
    <t>SB 1305</t>
  </si>
  <si>
    <t>Prohibits coverage for abortions unless the coverage is offered as a separate optional rider for which an additional insurance premium is charged.</t>
  </si>
  <si>
    <t>Sen. Sylvia Allen [R], Sen. Frank Antenori [R], Rep. Judy Burges [R], Sen. Adam Driggs [R], Sen. David Gowan [R], Sen. Linda Gray [R], Rep. Jack Harper [R], Sen. Debbie Lesko [R], Sen. Albert Melvin [R], Rep. Steve Montenegro [R], Rep. Warde Nichols [R], Sen. Russell Pearce [R], Rep. David Stevens [R], Sen. Thayer Verschoor [R], Rep. James Weiers [R]</t>
  </si>
  <si>
    <t>HB 1247</t>
  </si>
  <si>
    <t>Marketplace Limitations:  2010</t>
  </si>
  <si>
    <t>Sen. Robert Adley [R], Sen. John Alario [R], Sen. Conrad Appel [R], Rep. James Armes [D], Rep. Bobby Badon [D], Rep. Damon Baldone [D], Rep. Taylor Barras [R], Sen. Regina Barrow [D], Rep. Robert Billiot [D], Sen. Sharon Broome [D], Rep. Richard Burford [R], Rep. Henry Burns [R], Rep. Timothy Burns [R], Rep. Thomas Carmody [R], Rep. Simone Champagne [R], Rep. Billy Chandler [D], Rep. Charles Chaney [R], Sen. Patrick Connick [R], Sen. Patrick Cortez [R], Rep. George Cromer [R], Rep. Michael Danahay [D], Sen. Jack Donahue [R], Rep. Gordon Dove [R], Rep. Hollis Downs [R], Sen. Ann Duplessis [D], Rep. Noble Ellington [D], Sen. Dale Erdey [R], Sen. James Fannin [R], Sen. Nicholas Gautreaux [D], Rep. Brett Geymann [R], Rep. Jerry Gisclair [D], Rep. Hunter Greene [R], Sen. Elbert Guillory [D], Rep. Mickey Guillory [D], Rep. John Guinn [R], Rep. Rickey Hardy [D], Rep. Joseph Harrison [R], Rep. Lowell Hazel [R], Sen. Troy Hebert [D], Rep. Reed Henderson [D], Sen. Cameron Henry [R], Rep. Dorothy Hill [D], Rep. Walker Hines [D], Rep. Frank Hoffmann [R], Rep. Frank Howard [R], Rep. Kay Katz [R], Rep. Charles Kleckley [R], Sen. Robert Kostelka [R], Rep. John LaBruzzo [R], Sen. Eddie Lambert [R], Rep. Bernard LeBas [D], Rep. Anthony Ligi [R], Rep. Samuel Little [R], Sen. Gerald Long [R], Rep. Joseph Lopinto [R], Rep. Nicholas Lorusso [R], Sen. Daniel Martiny [R], Sen. Michael Michot [R], Sen. Fred Mills [R], Rep. Nickie Monica [R], Rep. Jack Montoucet [D], Rep. James Morris [R], Sen. Dan Morrish [R], Sen. Willie Mount [D], Sen. Ben Nevers [D], Rep. Kevin Pearson [R], Sen. Jonathan Perry [R], Sen. Rogers Pope [R], Rep. Stephen Pugh [R], Sen. Julie Quinn [R], Rep. Jerome Richard [I], Rep. Clifton Richardson [R], Rep. Neil Riser [R], Rep. Harold Ritchie [D], Rep. John Schroder [R], Sen. B.L. Shaw [R], Rep. Scott Simon [R], Rep. M.J. Smiley [R], Rep. Jane Smith [R], Sen. John Smith [R], Sen. Kirk Talbot [R], Rep. Ricky Templet [R], Rep. Major Thibaut [D], Rep. Francis Thompson [R], Rep. Jim Tucker [R], Sen. Michael Walsworth [R], Sen. Mack White [R], Rep. Patrick Williams [D], Rep. Thomas Willmott [R], Rep. Ernest Wooton [R]</t>
  </si>
  <si>
    <t>Mississippi</t>
  </si>
  <si>
    <t>SB 3214</t>
  </si>
  <si>
    <t>Sen. Billy Hewes [R], Sen. Alan Nunnelee [R]</t>
  </si>
  <si>
    <t>Missouri</t>
  </si>
  <si>
    <t>SB 793</t>
  </si>
  <si>
    <t>Marketplace Limitations: 2010</t>
  </si>
  <si>
    <t>Sen. Tom Dempsey [R], Sen. Jim Lembke [R], Sen. Robert Mayer [R], Sen. Gary Nodler [R], Rep. Bryan Pratt [R], Sen. Scott Rupp [R], Sen. William Stouffer [R]</t>
  </si>
  <si>
    <t>HB 2681</t>
  </si>
  <si>
    <t>Rep. Timothy Hill [R]</t>
  </si>
  <si>
    <t>State</t>
  </si>
  <si>
    <t>Year</t>
  </si>
  <si>
    <t>Bill</t>
  </si>
  <si>
    <t>Name</t>
  </si>
  <si>
    <t>Party (Democrat, Republican, Third, Nonpartisan)</t>
  </si>
  <si>
    <t>Gender (Male, Female)</t>
  </si>
  <si>
    <t>Race (White, Black, Hispanic, Asian, Native, Islander, Other)</t>
  </si>
  <si>
    <t>HB 4210</t>
  </si>
  <si>
    <t>Rep. Christine Conley</t>
  </si>
  <si>
    <t>D</t>
  </si>
  <si>
    <t>F</t>
  </si>
  <si>
    <t>W</t>
  </si>
  <si>
    <t>Rep. Linda M. Gentile</t>
  </si>
  <si>
    <t>Sen. Gayle S. Slossberg</t>
  </si>
  <si>
    <t>Joyce</t>
  </si>
  <si>
    <t>McCreight</t>
  </si>
  <si>
    <t>Sen. Steve Cassano</t>
  </si>
  <si>
    <t>M</t>
  </si>
  <si>
    <t>Kent</t>
  </si>
  <si>
    <t>Ackley</t>
  </si>
  <si>
    <t>Rep. Linda A. Orange</t>
  </si>
  <si>
    <t>Christopher</t>
  </si>
  <si>
    <t>Babbidge</t>
  </si>
  <si>
    <t>Rep. Joe de la Cruz</t>
  </si>
  <si>
    <t>H</t>
  </si>
  <si>
    <t>Shawn</t>
  </si>
  <si>
    <t>Babine</t>
  </si>
  <si>
    <t>Rep. Robyn A. Porter</t>
  </si>
  <si>
    <t>B</t>
  </si>
  <si>
    <t>Donna</t>
  </si>
  <si>
    <t>Bailey</t>
  </si>
  <si>
    <t>Rep. Roland J. Lemar</t>
  </si>
  <si>
    <t>Pinny</t>
  </si>
  <si>
    <t>Beebe-Center</t>
  </si>
  <si>
    <t>Rep. Patricia A. Dillon</t>
  </si>
  <si>
    <t>Shenna</t>
  </si>
  <si>
    <t>Bellows</t>
  </si>
  <si>
    <t>Rep. James M. Albis</t>
  </si>
  <si>
    <t>Seth</t>
  </si>
  <si>
    <t>Berry</t>
  </si>
  <si>
    <t>Rep. Joseph P. Gresko</t>
  </si>
  <si>
    <t>Lydia</t>
  </si>
  <si>
    <t>Blume</t>
  </si>
  <si>
    <t>Rep. Mary M. Mushinsky</t>
  </si>
  <si>
    <t>Catherine</t>
  </si>
  <si>
    <t>Breen</t>
  </si>
  <si>
    <t>Rep. Andrew M. Fleischmann</t>
  </si>
  <si>
    <t>Michael</t>
  </si>
  <si>
    <t>Brennan</t>
  </si>
  <si>
    <t>Rep. Livvy R. Floren</t>
  </si>
  <si>
    <t>R</t>
  </si>
  <si>
    <t>Heidi</t>
  </si>
  <si>
    <t>Brooks</t>
  </si>
  <si>
    <t>Rep. Terrie E. Wood</t>
  </si>
  <si>
    <t>Caiazzo</t>
  </si>
  <si>
    <t>Rep. Jeff Currey</t>
  </si>
  <si>
    <t>Barbara</t>
  </si>
  <si>
    <t>Cardone</t>
  </si>
  <si>
    <t>Rep. Devin R. Carney</t>
  </si>
  <si>
    <t>Anne</t>
  </si>
  <si>
    <t>Carney</t>
  </si>
  <si>
    <t>Rep. Russell A. Morin</t>
  </si>
  <si>
    <t>Everett</t>
  </si>
  <si>
    <t>Carson</t>
  </si>
  <si>
    <t>Rep. Sean Scanlon</t>
  </si>
  <si>
    <t>Justin</t>
  </si>
  <si>
    <t>Chenette</t>
  </si>
  <si>
    <t>Rep. Gregory Haddad</t>
  </si>
  <si>
    <t>Benjamin</t>
  </si>
  <si>
    <t>Chipman</t>
  </si>
  <si>
    <t>Rep. Terry B. Adams</t>
  </si>
  <si>
    <t>Kristen</t>
  </si>
  <si>
    <t>Cloutier</t>
  </si>
  <si>
    <t>Rep. Cristin McCarthy Vahey</t>
  </si>
  <si>
    <t>Collings</t>
  </si>
  <si>
    <t>Rep. Liz Linehan</t>
  </si>
  <si>
    <t>Janice</t>
  </si>
  <si>
    <t>Cooper</t>
  </si>
  <si>
    <t>Rep. Peter A. Tercyak</t>
  </si>
  <si>
    <t>Scott</t>
  </si>
  <si>
    <t>Cuddy</t>
  </si>
  <si>
    <t>Rep. Kim Rose</t>
  </si>
  <si>
    <t>Matthea</t>
  </si>
  <si>
    <t>Larsen Daughtry</t>
  </si>
  <si>
    <t>Rep. Michael Winkler</t>
  </si>
  <si>
    <t>Diane</t>
  </si>
  <si>
    <t>Denk</t>
  </si>
  <si>
    <t>Rep. Susan M. Johnson</t>
  </si>
  <si>
    <t>Dale</t>
  </si>
  <si>
    <t>Denno</t>
  </si>
  <si>
    <t>Rep. Josh Elliott</t>
  </si>
  <si>
    <t>Susan</t>
  </si>
  <si>
    <t>Deschambault</t>
  </si>
  <si>
    <t>Sen. Mae Flexer</t>
  </si>
  <si>
    <t>James</t>
  </si>
  <si>
    <t>Dill</t>
  </si>
  <si>
    <t>Rep. Noreen S. Kokoruda</t>
  </si>
  <si>
    <t>Dodge</t>
  </si>
  <si>
    <t>w</t>
  </si>
  <si>
    <t>Rep. Gail Lavielle</t>
  </si>
  <si>
    <t>Doore</t>
  </si>
  <si>
    <t>Sen. Marilyn V. Moore</t>
  </si>
  <si>
    <t>Victoria</t>
  </si>
  <si>
    <t>Doudera</t>
  </si>
  <si>
    <t>Rep. Diana S. Urban</t>
  </si>
  <si>
    <t>Michelle</t>
  </si>
  <si>
    <t>Dunphy</t>
  </si>
  <si>
    <t>Rep. Scott A. Storms</t>
  </si>
  <si>
    <t>Jeffrey</t>
  </si>
  <si>
    <t>Evangelos</t>
  </si>
  <si>
    <t>Rep. Laura M. Devlin</t>
  </si>
  <si>
    <t>Richard</t>
  </si>
  <si>
    <t>Farnsworth</t>
  </si>
  <si>
    <t>Rep. Melissa H. Ziobron</t>
  </si>
  <si>
    <t>Ryan</t>
  </si>
  <si>
    <t>Fecteau</t>
  </si>
  <si>
    <t>Rep. Philip L. Young</t>
  </si>
  <si>
    <t>Foley</t>
  </si>
  <si>
    <t>Rep. Tom Delnicki</t>
  </si>
  <si>
    <t>Andrew</t>
  </si>
  <si>
    <t>Gattine</t>
  </si>
  <si>
    <t>Rep. Bob Godfrey</t>
  </si>
  <si>
    <t>Sara</t>
  </si>
  <si>
    <t>Gideon</t>
  </si>
  <si>
    <t>Rep. Gary Byron</t>
  </si>
  <si>
    <t>Lori</t>
  </si>
  <si>
    <t>Gramlich</t>
  </si>
  <si>
    <t>Rep. Jonathan Steinberg</t>
  </si>
  <si>
    <t>Geoffrey</t>
  </si>
  <si>
    <t>Gratwick</t>
  </si>
  <si>
    <t>Rep. Juan R. Candelaria</t>
  </si>
  <si>
    <t>Thomas</t>
  </si>
  <si>
    <t>Harnett</t>
  </si>
  <si>
    <t>Rep. Bruce V. Morris</t>
  </si>
  <si>
    <t>Allison</t>
  </si>
  <si>
    <t>Hepler</t>
  </si>
  <si>
    <t>Rep. John H. Frey</t>
  </si>
  <si>
    <t>Daniel</t>
  </si>
  <si>
    <t>Hobbs</t>
  </si>
  <si>
    <t>Rep. Chris Perone</t>
  </si>
  <si>
    <t>Brian</t>
  </si>
  <si>
    <t>Hubbell</t>
  </si>
  <si>
    <t>Rep. Antonio Guerrera</t>
  </si>
  <si>
    <t>Patricia</t>
  </si>
  <si>
    <t>Hymanson</t>
  </si>
  <si>
    <t>Rep. Steven J. Stafstrom</t>
  </si>
  <si>
    <t>Erik</t>
  </si>
  <si>
    <t>Jorgensen</t>
  </si>
  <si>
    <t>Rep. Matthew Lesser</t>
  </si>
  <si>
    <t>Kornfield</t>
  </si>
  <si>
    <t>Rep. Caroline Simmons</t>
  </si>
  <si>
    <t>Landry</t>
  </si>
  <si>
    <t>Rep. Derek Slap</t>
  </si>
  <si>
    <t>Nathan</t>
  </si>
  <si>
    <t>Libby</t>
  </si>
  <si>
    <t>Rep. Joshua Malik Hall</t>
  </si>
  <si>
    <t>Louis</t>
  </si>
  <si>
    <t>Luchini</t>
  </si>
  <si>
    <t>Sen. George S. Logan</t>
  </si>
  <si>
    <t>Colleen</t>
  </si>
  <si>
    <t>Madigan</t>
  </si>
  <si>
    <t>Sen. Terry B. Gerratana</t>
  </si>
  <si>
    <t>Anne-Marie</t>
  </si>
  <si>
    <t>Mastraccio</t>
  </si>
  <si>
    <t>Sen. Beth Bye</t>
  </si>
  <si>
    <t>Ann</t>
  </si>
  <si>
    <t>Matlack</t>
  </si>
  <si>
    <t>Rep. Mike Demicco</t>
  </si>
  <si>
    <t>David</t>
  </si>
  <si>
    <t>McCrea</t>
  </si>
  <si>
    <t>Sen. Carlo Leone</t>
  </si>
  <si>
    <t>Genevieve</t>
  </si>
  <si>
    <t>McDonald</t>
  </si>
  <si>
    <t>Sen. Catherine A. Osten</t>
  </si>
  <si>
    <t>McLean</t>
  </si>
  <si>
    <t>Sen. Martin M. Looney</t>
  </si>
  <si>
    <t>Gina</t>
  </si>
  <si>
    <t>Melaragno</t>
  </si>
  <si>
    <t>Sen. Bob Duff</t>
  </si>
  <si>
    <t>Michele</t>
  </si>
  <si>
    <t>Meyer</t>
  </si>
  <si>
    <t>Sen. Henri Martin</t>
  </si>
  <si>
    <t>Rebecca</t>
  </si>
  <si>
    <t>Millett</t>
  </si>
  <si>
    <t>Sen. Heather B. Somers</t>
  </si>
  <si>
    <t>Miramant</t>
  </si>
  <si>
    <t>Pat Takasugi</t>
  </si>
  <si>
    <t>A</t>
  </si>
  <si>
    <t>Matthew</t>
  </si>
  <si>
    <t>Moonen</t>
  </si>
  <si>
    <t>Cherie Buckner-Webb</t>
  </si>
  <si>
    <t>Margaret</t>
  </si>
  <si>
    <t>O'Neil</t>
  </si>
  <si>
    <t>Thomas Loertscher</t>
  </si>
  <si>
    <t>Sarah</t>
  </si>
  <si>
    <t>Pebworth</t>
  </si>
  <si>
    <t>Brent Crane</t>
  </si>
  <si>
    <t>Peoples</t>
  </si>
  <si>
    <t>Eric Anderson</t>
  </si>
  <si>
    <t>Perry</t>
  </si>
  <si>
    <t>Frank Henderson</t>
  </si>
  <si>
    <t>Teresa</t>
  </si>
  <si>
    <t>Pierce</t>
  </si>
  <si>
    <t>Carlos Bilbao</t>
  </si>
  <si>
    <t>Lois Galgay</t>
  </si>
  <si>
    <t>Reckitt</t>
  </si>
  <si>
    <t>Max Black</t>
  </si>
  <si>
    <t>Tiffany</t>
  </si>
  <si>
    <t>Roberts-Lovell</t>
  </si>
  <si>
    <t>Lynn Luker</t>
  </si>
  <si>
    <t>Deane</t>
  </si>
  <si>
    <t>Rykerson</t>
  </si>
  <si>
    <t>Joe Palmer</t>
  </si>
  <si>
    <t>Heather</t>
  </si>
  <si>
    <t>Sanborn</t>
  </si>
  <si>
    <t>John Stevenson</t>
  </si>
  <si>
    <t>Linda</t>
  </si>
  <si>
    <t>Ken Andrus</t>
  </si>
  <si>
    <t>John</t>
  </si>
  <si>
    <t>Schneck</t>
  </si>
  <si>
    <t>Jim Guthrie</t>
  </si>
  <si>
    <t>Braden</t>
  </si>
  <si>
    <t>Sharpe</t>
  </si>
  <si>
    <t>Erik Simpson</t>
  </si>
  <si>
    <t>Sylvester</t>
  </si>
  <si>
    <t>Elfreda Higgins</t>
  </si>
  <si>
    <t>Rachel</t>
  </si>
  <si>
    <t>Talbot Ross</t>
  </si>
  <si>
    <t>b</t>
  </si>
  <si>
    <t>Phylis King</t>
  </si>
  <si>
    <t>Denise</t>
  </si>
  <si>
    <t>Tepler</t>
  </si>
  <si>
    <t>Elaine Smith</t>
  </si>
  <si>
    <t>Maureen</t>
  </si>
  <si>
    <t>Terry</t>
  </si>
  <si>
    <t>Kathleen Sims</t>
  </si>
  <si>
    <t>Tipping-Spitz</t>
  </si>
  <si>
    <t>Janice McGeachin</t>
  </si>
  <si>
    <t>Ralph</t>
  </si>
  <si>
    <t>Tucker</t>
  </si>
  <si>
    <t>Rep. Bob Grant</t>
  </si>
  <si>
    <t>Eloise</t>
  </si>
  <si>
    <t>Vitelli</t>
  </si>
  <si>
    <t>Rep. Paul Davis</t>
  </si>
  <si>
    <t>Charlotte</t>
  </si>
  <si>
    <t>Warren</t>
  </si>
  <si>
    <t>Rep. Tom Burroughs</t>
  </si>
  <si>
    <t>Stanley</t>
  </si>
  <si>
    <t>Zeigler</t>
  </si>
  <si>
    <t>Rep. Anthony Brown</t>
  </si>
  <si>
    <t>Rep. Charlotte O'Hara</t>
  </si>
  <si>
    <t>Rep. Clark Shultz</t>
  </si>
  <si>
    <t>Rep. James Fawcett</t>
  </si>
  <si>
    <t>Rep. Phil Hermanson</t>
  </si>
  <si>
    <t>Rep. Richard Proehl</t>
  </si>
  <si>
    <t>Rep. Rick Billinger</t>
  </si>
  <si>
    <t>Rep. Robert Montgomery</t>
  </si>
  <si>
    <t>Rep. Steven Johnson</t>
  </si>
  <si>
    <t>Rep. TerriLois Gregory</t>
  </si>
  <si>
    <t>James Eldridge</t>
  </si>
  <si>
    <t>Vinny deMacedo</t>
  </si>
  <si>
    <t>Aaron Michlewitz</t>
  </si>
  <si>
    <t xml:space="preserve"> F. Jay Barrows</t>
  </si>
  <si>
    <t>Eric Lesser</t>
  </si>
  <si>
    <t>Shawn C. Dooley</t>
  </si>
  <si>
    <t>Michael Finn</t>
  </si>
  <si>
    <t xml:space="preserve"> Joseph Boncore</t>
  </si>
  <si>
    <t>John Keenan</t>
  </si>
  <si>
    <t>Sal DiDomenico</t>
  </si>
  <si>
    <t>Thomas Stanley</t>
  </si>
  <si>
    <t xml:space="preserve"> Chris Walsh</t>
  </si>
  <si>
    <t xml:space="preserve"> Marjorie Decker</t>
  </si>
  <si>
    <t>Christine Barber</t>
  </si>
  <si>
    <t>Michael Day</t>
  </si>
  <si>
    <t xml:space="preserve"> Jose Tosado</t>
  </si>
  <si>
    <t xml:space="preserve"> Dan Cahill</t>
  </si>
  <si>
    <t>Helene Weinstein</t>
  </si>
  <si>
    <t xml:space="preserve"> J. Gary Pretlow</t>
  </si>
  <si>
    <t>William Magnarelli</t>
  </si>
  <si>
    <t>John T. McDonald III</t>
  </si>
  <si>
    <t xml:space="preserve"> Catherine Nolan </t>
  </si>
  <si>
    <t xml:space="preserve">N. Nick Perry </t>
  </si>
  <si>
    <t xml:space="preserve">Alicia Hyndman </t>
  </si>
  <si>
    <t xml:space="preserve">Rebecca Seawright  </t>
  </si>
  <si>
    <t xml:space="preserve">David Weprin  </t>
  </si>
  <si>
    <t xml:space="preserve">Kenneth Zebrowski  </t>
  </si>
  <si>
    <t xml:space="preserve">Philip Ramos  </t>
  </si>
  <si>
    <t xml:space="preserve">Robert Rodriguez  </t>
  </si>
  <si>
    <t xml:space="preserve">Latoya Joyner  </t>
  </si>
  <si>
    <t xml:space="preserve">Jeffrion Aubry  </t>
  </si>
  <si>
    <t xml:space="preserve">Michael Benedetto  </t>
  </si>
  <si>
    <t xml:space="preserve">Harry Bronson  </t>
  </si>
  <si>
    <t xml:space="preserve">Edward Braunstein  </t>
  </si>
  <si>
    <t xml:space="preserve">Kevin Cahill  </t>
  </si>
  <si>
    <t xml:space="preserve">Deborah Glick  </t>
  </si>
  <si>
    <t xml:space="preserve">William Colton  </t>
  </si>
  <si>
    <t xml:space="preserve">Vivian Cook  </t>
  </si>
  <si>
    <t xml:space="preserve">Michael Cusick  </t>
  </si>
  <si>
    <t xml:space="preserve">Erik Dilan  </t>
  </si>
  <si>
    <t xml:space="preserve">Jeffrey Dinowitz  </t>
  </si>
  <si>
    <t xml:space="preserve">Nily Rozic  </t>
  </si>
  <si>
    <t xml:space="preserve">Michael J. Norris  </t>
  </si>
  <si>
    <t xml:space="preserve">Philip Palmesano  </t>
  </si>
  <si>
    <t xml:space="preserve">Edward Ra  </t>
  </si>
  <si>
    <t xml:space="preserve">Stephen Hawley  </t>
  </si>
  <si>
    <t xml:space="preserve">Jacob Ashby  </t>
  </si>
  <si>
    <t xml:space="preserve">Kevin M. Byrne  </t>
  </si>
  <si>
    <t xml:space="preserve">Kenneth Blankenbush  </t>
  </si>
  <si>
    <t xml:space="preserve">Karl Brabenec  </t>
  </si>
  <si>
    <t>Michael Fitzpatrick</t>
  </si>
  <si>
    <t>SB 4007</t>
  </si>
  <si>
    <t>Jo Anne Simon</t>
  </si>
  <si>
    <t>Latrice Walker</t>
  </si>
  <si>
    <t>Rodneyse Bichotte Hermelyn</t>
  </si>
  <si>
    <t>Catalina Cruz</t>
  </si>
  <si>
    <t>Brian Manktelow</t>
  </si>
  <si>
    <t>Robert Smullen</t>
  </si>
  <si>
    <t>Mary Beth Walsh</t>
  </si>
  <si>
    <t>Joseph DeStefano</t>
  </si>
  <si>
    <t>Sylvia Allen</t>
  </si>
  <si>
    <t>SB 1306</t>
  </si>
  <si>
    <t>Frank Antenori</t>
  </si>
  <si>
    <t>SB 1307</t>
  </si>
  <si>
    <t>Judy Burges</t>
  </si>
  <si>
    <t>SB 1308</t>
  </si>
  <si>
    <t>Adam Driggs</t>
  </si>
  <si>
    <t>SB 1309</t>
  </si>
  <si>
    <t>David Gowan</t>
  </si>
  <si>
    <t>SB 1310</t>
  </si>
  <si>
    <t>Linda Gray</t>
  </si>
  <si>
    <t>SB 1311</t>
  </si>
  <si>
    <t>Jack Harper</t>
  </si>
  <si>
    <t>SB 1312</t>
  </si>
  <si>
    <t>Debbie Lesko</t>
  </si>
  <si>
    <t>SB 1313</t>
  </si>
  <si>
    <t>Albert Melvin</t>
  </si>
  <si>
    <t>SB 1314</t>
  </si>
  <si>
    <t>Steve Montenegro</t>
  </si>
  <si>
    <t>SB 1315</t>
  </si>
  <si>
    <t>Warde Nichols</t>
  </si>
  <si>
    <t>SB 1316</t>
  </si>
  <si>
    <t>Russell Pearce</t>
  </si>
  <si>
    <t>SB 1317</t>
  </si>
  <si>
    <t>David Stevens</t>
  </si>
  <si>
    <t>Thayer Verschoor</t>
  </si>
  <si>
    <t>SB 1319</t>
  </si>
  <si>
    <t>James Weiers</t>
  </si>
  <si>
    <t>Stephanie Bolden</t>
  </si>
  <si>
    <t>Kyra Hoffner</t>
  </si>
  <si>
    <t>William Bush</t>
  </si>
  <si>
    <t>Debra Heffernan</t>
  </si>
  <si>
    <t>Kendra Johnson</t>
  </si>
  <si>
    <t>Sean Lynn</t>
  </si>
  <si>
    <t>Eric Morrison</t>
  </si>
  <si>
    <t>Stell Parker Selby</t>
  </si>
  <si>
    <t>Kimberly Williams</t>
  </si>
  <si>
    <t>Madinah Wilson-Anton</t>
  </si>
  <si>
    <t>Franklin Cooke</t>
  </si>
  <si>
    <t>Edward Osienski</t>
  </si>
  <si>
    <t>Kerri Harris</t>
  </si>
  <si>
    <t>Russ Huxtable</t>
  </si>
  <si>
    <t>David Wilson</t>
  </si>
  <si>
    <t>Deanna Frazier Gordon</t>
  </si>
  <si>
    <t>Chad Aull</t>
  </si>
  <si>
    <t>Danny Bentley</t>
  </si>
  <si>
    <t>Beverly Chester-Burton</t>
  </si>
  <si>
    <t>Alan Gentry</t>
  </si>
  <si>
    <t>Ruth Palumbo</t>
  </si>
  <si>
    <t>Rachel Roarx</t>
  </si>
  <si>
    <t>Rachel Roberts</t>
  </si>
  <si>
    <t>Sarah Stalker</t>
  </si>
  <si>
    <t>Lisa Willner</t>
  </si>
  <si>
    <t>G.A. Hardaway</t>
  </si>
  <si>
    <t>Sam Whitson</t>
  </si>
  <si>
    <t>Jeremy Faison</t>
  </si>
  <si>
    <t>Charlie Baum</t>
  </si>
  <si>
    <t>Patsy Hazlewood</t>
  </si>
  <si>
    <t>Jerome Moon</t>
  </si>
  <si>
    <t>Harold Love</t>
  </si>
  <si>
    <t>Johnny Shaw</t>
  </si>
  <si>
    <t>Karen Camper</t>
  </si>
  <si>
    <t>Tim Hicks</t>
  </si>
  <si>
    <t>Ed Butler</t>
  </si>
  <si>
    <t>Ronnie Glynn</t>
  </si>
  <si>
    <t>Joe Towns</t>
  </si>
  <si>
    <t>Gloria Johnson</t>
  </si>
  <si>
    <t>Clay Doggett</t>
  </si>
  <si>
    <t>John Gillespie</t>
  </si>
  <si>
    <t>John Ragan</t>
  </si>
  <si>
    <t>Andrew Farmer</t>
  </si>
  <si>
    <t>Chris Hurt</t>
  </si>
  <si>
    <t>Robert Stevens</t>
  </si>
  <si>
    <t>Todd Warner</t>
  </si>
  <si>
    <t>Mark White</t>
  </si>
  <si>
    <t>Sam McKenzie</t>
  </si>
  <si>
    <t>Kirk Haston</t>
  </si>
  <si>
    <t>Monty Fritts</t>
  </si>
  <si>
    <t>Gino Bulso</t>
  </si>
  <si>
    <t>Rick Eldridge</t>
  </si>
  <si>
    <t>Elaine Davis</t>
  </si>
  <si>
    <t>John Clemmons</t>
  </si>
  <si>
    <t>Larry Miller</t>
  </si>
  <si>
    <t>Jesse Chism</t>
  </si>
  <si>
    <t>Jason Powell</t>
  </si>
  <si>
    <t>Rebecca Alexander</t>
  </si>
  <si>
    <t>Dwayne Thompson</t>
  </si>
  <si>
    <t>Vincent Dixie</t>
  </si>
  <si>
    <t>Antonio Parkinson</t>
  </si>
  <si>
    <t>Sabi Kumar</t>
  </si>
  <si>
    <t xml:space="preserve">Jessica Fay </t>
  </si>
  <si>
    <t>Matt Klein</t>
  </si>
  <si>
    <t>Sen. Todd Kaminsky</t>
  </si>
  <si>
    <t>Sen. Liz Krueger</t>
  </si>
  <si>
    <t>Sen. John Liu</t>
  </si>
  <si>
    <t>Sen. Julia Salazar</t>
  </si>
  <si>
    <t>Sen. Alexis Weik</t>
  </si>
  <si>
    <t>Sen. Edward Rath</t>
  </si>
  <si>
    <t>Sen. Andrew Zwicker</t>
  </si>
  <si>
    <t>Rep. Carol Murphy</t>
  </si>
  <si>
    <t>Rep. Shavonda Sumter</t>
  </si>
  <si>
    <t>Sen. Teresa Ruiz</t>
  </si>
  <si>
    <t>Sen. Nellie Pou</t>
  </si>
  <si>
    <t>Rep. Valerie Huttle</t>
  </si>
  <si>
    <t>Rep. Pamela Lampitt</t>
  </si>
  <si>
    <t>Rep. Nancy Pinkin</t>
  </si>
  <si>
    <t>Sen. Angela Mcknight</t>
  </si>
  <si>
    <t>Rep. Clinton Calabrese</t>
  </si>
  <si>
    <t>Rep. Gabriela Mosquera</t>
  </si>
  <si>
    <t xml:space="preserve"> Rep. Mila Jasey</t>
  </si>
  <si>
    <t>Sen. Britnee Timberlake</t>
  </si>
  <si>
    <t>Sen. Linda Greenstein</t>
  </si>
  <si>
    <t>Rep. Herbert Conaway</t>
  </si>
  <si>
    <t xml:space="preserve">Rep. Roy Freiman </t>
  </si>
  <si>
    <t>Rep. Joann Downey</t>
  </si>
  <si>
    <t>Rep. Yvonne Lopez</t>
  </si>
  <si>
    <t>David Brumbaugh</t>
  </si>
  <si>
    <t>Mike Christian</t>
  </si>
  <si>
    <t>SB 547</t>
  </si>
  <si>
    <t>David Derby</t>
  </si>
  <si>
    <t>George Faught</t>
  </si>
  <si>
    <t>Rob Johnson</t>
  </si>
  <si>
    <t>Sally Kern</t>
  </si>
  <si>
    <t>Pam Peterson</t>
  </si>
  <si>
    <t>Jim Reynolds</t>
  </si>
  <si>
    <t>Mike Ritze</t>
  </si>
  <si>
    <t>Anthony Sykes</t>
  </si>
  <si>
    <t>Kriselda Valderrama</t>
  </si>
  <si>
    <t>Clarence Lam</t>
  </si>
  <si>
    <t>David Moon</t>
  </si>
  <si>
    <t>Angela Angel</t>
  </si>
  <si>
    <t>Vanessa Atterbeary</t>
  </si>
  <si>
    <t>Diana Fennell</t>
  </si>
  <si>
    <t>Cheryl Glenn</t>
  </si>
  <si>
    <t>Terri Hill</t>
  </si>
  <si>
    <t>Adrienne Jones</t>
  </si>
  <si>
    <t>Edith Patterson</t>
  </si>
  <si>
    <t>Joseline Pena-Melnyk</t>
  </si>
  <si>
    <t>Barbara Robinson</t>
  </si>
  <si>
    <t>Sheree Sample-Hughes</t>
  </si>
  <si>
    <t>Mary Washington</t>
  </si>
  <si>
    <t>Tawanna Gaines</t>
  </si>
  <si>
    <t>Erek Barron</t>
  </si>
  <si>
    <t>Benjamin Brooks</t>
  </si>
  <si>
    <t>Alfred Carr</t>
  </si>
  <si>
    <t>Dereck Davis</t>
  </si>
  <si>
    <t>Marvin Holmes</t>
  </si>
  <si>
    <t>Michael Jackson</t>
  </si>
  <si>
    <t>Cory McCray</t>
  </si>
  <si>
    <t>Nathaniel Oaks</t>
  </si>
  <si>
    <t>Michael Vaughn</t>
  </si>
  <si>
    <t>Jay Walker</t>
  </si>
  <si>
    <t>Alonzo Washington</t>
  </si>
  <si>
    <t>Talmadge Branch</t>
  </si>
  <si>
    <t>Ana Gutierrez</t>
  </si>
  <si>
    <t>Carlos Sanchez</t>
  </si>
  <si>
    <t>Aruna Miller</t>
  </si>
  <si>
    <t>O</t>
  </si>
  <si>
    <t>Ariana Kelly</t>
  </si>
  <si>
    <t>Bonnie Cullison</t>
  </si>
  <si>
    <t>Kathleen Dumais</t>
  </si>
  <si>
    <t>Barbara Frush</t>
  </si>
  <si>
    <t>Shelly Hettleman</t>
  </si>
  <si>
    <t>Sheila Hixson</t>
  </si>
  <si>
    <t>Anne Kaiser</t>
  </si>
  <si>
    <t>Brooke Lierman</t>
  </si>
  <si>
    <t>Mary Ann Lisanti</t>
  </si>
  <si>
    <t>Maggie McIntosh</t>
  </si>
  <si>
    <t>Karen Lewis Young</t>
  </si>
  <si>
    <t>Marice Morales</t>
  </si>
  <si>
    <t>Curtis Anderson</t>
  </si>
  <si>
    <t>Charles Barkley</t>
  </si>
  <si>
    <t>Ben Barnes</t>
  </si>
  <si>
    <t>Kumar Barve</t>
  </si>
  <si>
    <t>Michael Busch</t>
  </si>
  <si>
    <t>Luke Clippinger</t>
  </si>
  <si>
    <t>Eric Ebersole</t>
  </si>
  <si>
    <t>David Fraser-Hidalgo</t>
  </si>
  <si>
    <t>William Frick</t>
  </si>
  <si>
    <t>James Gilchrist</t>
  </si>
  <si>
    <t>Marc Korman</t>
  </si>
  <si>
    <t>Benjamin Kramer</t>
  </si>
  <si>
    <t>Carol Krimm</t>
  </si>
  <si>
    <t>Stephen Lafferty</t>
  </si>
  <si>
    <t>Eric Luedtke</t>
  </si>
  <si>
    <t>Dan Morhaim</t>
  </si>
  <si>
    <t>Shane Pendergrass</t>
  </si>
  <si>
    <t>Andrew Platt</t>
  </si>
  <si>
    <t>Shane Robinson</t>
  </si>
  <si>
    <t>Samuel Rosenberg</t>
  </si>
  <si>
    <t>William Smith</t>
  </si>
  <si>
    <t>James Tarlau</t>
  </si>
  <si>
    <t>Frank Turner</t>
  </si>
  <si>
    <t>Joseph Vallario</t>
  </si>
  <si>
    <t>Jeff Waldstreicher</t>
  </si>
  <si>
    <t>Peter Hammen</t>
  </si>
  <si>
    <t>Eric Bromwell</t>
  </si>
  <si>
    <t>Kirill Reznik</t>
  </si>
  <si>
    <t>Pat Young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</si>
</sst>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rgb="FF000000"/>
      <name val="Arial"/>
      <scheme val="minor"/>
    </font>
    <font>
      <b/>
      <color theme="1"/>
      <name val="Arial"/>
      <scheme val="minor"/>
    </font>
    <font>
      <sz val="10.0"/>
      <color theme="1"/>
      <name val="Arial"/>
      <scheme val="minor"/>
    </font>
    <font>
      <color theme="1"/>
      <name val="Arial"/>
    </font>
    <font>
      <color theme="1"/>
      <name val="Arial"/>
      <scheme val="minor"/>
    </font>
    <font>
      <color rgb="FF000000"/>
      <name val="Arial"/>
    </font>
    <font>
      <sz val="11.0"/>
      <color theme="1"/>
      <name val="Calibri"/>
    </font>
    <font>
      <color rgb="FFFF0000"/>
      <name val="Arial"/>
      <scheme val="minor"/>
    </font>
    <font>
      <color rgb="FF0000FF"/>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4" numFmtId="0" xfId="0" applyAlignment="1" applyFont="1">
      <alignment horizontal="center" shrinkToFit="0" vertical="center" wrapText="1"/>
    </xf>
    <xf borderId="0" fillId="0" fontId="0"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5" numFmtId="1" xfId="0" applyAlignment="1" applyFont="1" applyNumberFormat="1">
      <alignment horizontal="center" shrinkToFit="0" vertical="center" wrapText="1"/>
    </xf>
    <xf borderId="0" fillId="0" fontId="4" numFmtId="1"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center" readingOrder="0" vertical="center"/>
    </xf>
    <xf borderId="0" fillId="0" fontId="8" numFmtId="0" xfId="0" applyAlignment="1" applyFont="1">
      <alignment horizontal="center" readingOrder="0" shrinkToFit="0" vertical="center" wrapText="1"/>
    </xf>
    <xf borderId="0" fillId="0" fontId="8" numFmtId="0" xfId="0" applyAlignment="1" applyFont="1">
      <alignment horizontal="center" vertical="center"/>
    </xf>
    <xf borderId="0" fillId="0" fontId="9" numFmtId="0" xfId="0" applyAlignment="1" applyFont="1">
      <alignment horizontal="center" readingOrder="0" shrinkToFit="0" vertical="center" wrapText="1"/>
    </xf>
    <xf borderId="0" fillId="0" fontId="9" numFmtId="0" xfId="0" applyAlignment="1" applyFont="1">
      <alignment horizontal="center" vertical="center"/>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12.63"/>
    <col customWidth="1" min="4" max="5" width="25.13"/>
    <col customWidth="1" min="6" max="6" width="45.5"/>
    <col customWidth="1" min="7" max="7" width="62.63"/>
    <col customWidth="1" min="8" max="24" width="12.63"/>
  </cols>
  <sheetData>
    <row r="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 r="A2" s="3" t="s">
        <v>24</v>
      </c>
      <c r="B2" s="3">
        <v>2012.0</v>
      </c>
      <c r="C2" s="3" t="s">
        <v>25</v>
      </c>
      <c r="D2" s="4" t="s">
        <v>26</v>
      </c>
      <c r="E2" s="4" t="s">
        <v>27</v>
      </c>
      <c r="F2" s="5" t="s">
        <v>28</v>
      </c>
      <c r="G2" s="5" t="str">
        <f>IFERROR(__xludf.DUMMYFUNCTION("ARRAYFORMULA(IF(F2:F1008="""", """", TRIM(REGEXREPLACE(REGEXREPLACE(F2:F1008, ""\s*(\n|\t|\r)+\s*"", "", ""), "",\s*,"", "", ""))))"),"Sen. Greg Reed [R]")</f>
        <v>Sen. Greg Reed [R]</v>
      </c>
      <c r="H2" s="6">
        <f t="shared" ref="H2:H32" si="1">U2+V2+W2</f>
        <v>1</v>
      </c>
      <c r="I2" s="5">
        <v>0.0</v>
      </c>
      <c r="J2" s="5">
        <v>1.0</v>
      </c>
      <c r="K2" s="5">
        <v>0.0</v>
      </c>
      <c r="L2" s="6">
        <f t="shared" ref="L2:L42" si="2">IFERROR(I2/H2, 0)</f>
        <v>0</v>
      </c>
      <c r="M2" s="5">
        <v>1.0</v>
      </c>
      <c r="N2" s="5">
        <v>0.0</v>
      </c>
      <c r="O2" s="5">
        <v>0.0</v>
      </c>
      <c r="P2" s="5">
        <v>0.0</v>
      </c>
      <c r="Q2" s="5">
        <v>0.0</v>
      </c>
      <c r="R2" s="5">
        <v>0.0</v>
      </c>
      <c r="S2" s="5">
        <v>0.0</v>
      </c>
      <c r="T2" s="6">
        <f t="shared" ref="T2:T42" si="3">IFERROR((N2+O2+P2+Q2+R2+S2)/H2, 0)</f>
        <v>0</v>
      </c>
      <c r="U2" s="5">
        <f t="shared" ref="U2:U42" si="4">IF(G2 = "", "", (LEN(G2) - LEN(SUBSTITUTE(G2, "[D]", ""))) / 3)</f>
        <v>0</v>
      </c>
      <c r="V2" s="5">
        <f t="shared" ref="V2:V32" si="5">IF(G2 = "", "", (LEN(G2) - LEN(SUBSTITUTE(G2, "[R]", ""))) / 3)</f>
        <v>1</v>
      </c>
      <c r="W2" s="5">
        <f t="shared" ref="W2:W32" si="6">IF(G2 = "", "", (LEN(G2) - LEN(SUBSTITUTE(G2, "[I]", ""))) / 3)</f>
        <v>0</v>
      </c>
      <c r="X2" s="6">
        <f t="shared" ref="X2:X42" si="7">IFERROR(U2/H2, 0)</f>
        <v>0</v>
      </c>
    </row>
    <row r="3">
      <c r="A3" s="3" t="s">
        <v>29</v>
      </c>
      <c r="B3" s="3">
        <v>2024.0</v>
      </c>
      <c r="C3" s="3" t="s">
        <v>30</v>
      </c>
      <c r="D3" s="7" t="s">
        <v>31</v>
      </c>
      <c r="E3" s="3" t="s">
        <v>32</v>
      </c>
      <c r="F3" s="5" t="s">
        <v>33</v>
      </c>
      <c r="G3" s="6" t="str">
        <f>IFERROR(__xludf.DUMMYFUNCTION("""COMPUTED_VALUE"""),"Rep. Stephanie Bolden [D], Sen. Kyra Hoffner [D], Rep. William Bush [D], Rep. Debra Heffernan [D], Rep. Kendra Johnson [D], Rep. Sean Lynn [D], Rep. Eric Morrison [D], Rep. Stell Parker Selby [D], Rep. Kimberly Williams [D], Rep. Madinah Wilson-Anton [D],"&amp;" Rep. Franklin Cooke [D], Rep. Edward Osienski [D], Rep. Kerri Harris [D], Sen. Russ Huxtable [D], Sen. David Wilson [R]")</f>
        <v>Rep. Stephanie Bolden [D], Sen. Kyra Hoffner [D], Rep. William Bush [D], Rep. Debra Heffernan [D], Rep. Kendra Johnson [D], Rep. Sean Lynn [D], Rep. Eric Morrison [D], Rep. Stell Parker Selby [D], Rep. Kimberly Williams [D], Rep. Madinah Wilson-Anton [D], Rep. Franklin Cooke [D], Rep. Edward Osienski [D], Rep. Kerri Harris [D], Sen. Russ Huxtable [D], Sen. David Wilson [R]</v>
      </c>
      <c r="H3" s="6">
        <f t="shared" si="1"/>
        <v>15</v>
      </c>
      <c r="I3" s="5">
        <v>8.0</v>
      </c>
      <c r="J3" s="5">
        <v>7.0</v>
      </c>
      <c r="K3" s="5">
        <v>0.0</v>
      </c>
      <c r="L3" s="6">
        <f t="shared" si="2"/>
        <v>0.5333333333</v>
      </c>
      <c r="M3" s="5">
        <v>8.0</v>
      </c>
      <c r="N3" s="5">
        <v>7.0</v>
      </c>
      <c r="O3" s="5">
        <v>0.0</v>
      </c>
      <c r="P3" s="5">
        <v>0.0</v>
      </c>
      <c r="Q3" s="5">
        <v>0.0</v>
      </c>
      <c r="R3" s="5">
        <v>0.0</v>
      </c>
      <c r="S3" s="5">
        <v>0.0</v>
      </c>
      <c r="T3" s="6">
        <f t="shared" si="3"/>
        <v>0.4666666667</v>
      </c>
      <c r="U3" s="5">
        <f t="shared" si="4"/>
        <v>14</v>
      </c>
      <c r="V3" s="5">
        <f t="shared" si="5"/>
        <v>1</v>
      </c>
      <c r="W3" s="5">
        <f t="shared" si="6"/>
        <v>0</v>
      </c>
      <c r="X3" s="6">
        <f t="shared" si="7"/>
        <v>0.9333333333</v>
      </c>
    </row>
    <row r="4">
      <c r="A4" s="3" t="s">
        <v>34</v>
      </c>
      <c r="B4" s="3">
        <v>2024.0</v>
      </c>
      <c r="C4" s="3" t="s">
        <v>30</v>
      </c>
      <c r="D4" s="7" t="s">
        <v>35</v>
      </c>
      <c r="E4" s="3" t="s">
        <v>36</v>
      </c>
      <c r="F4" s="5" t="s">
        <v>37</v>
      </c>
      <c r="G4" s="6" t="str">
        <f>IFERROR(__xludf.DUMMYFUNCTION("""COMPUTED_VALUE"""),"Rep. Deanna Frazier Gordon [R], Rep. Chad Aull [D], Rep. Danny Bentley [R], Rep. Beverly Chester-Burton [D], Rep. Alan Gentry [D], Rep. Ruth Palumbo [D], Rep. Rachel Roarx [D], Rep. Rachel Roberts [D], Rep. Sarah Stalker [D], Rep. Lisa Willner [D]")</f>
        <v>Rep. Deanna Frazier Gordon [R], Rep. Chad Aull [D], Rep. Danny Bentley [R], Rep. Beverly Chester-Burton [D], Rep. Alan Gentry [D], Rep. Ruth Palumbo [D], Rep. Rachel Roarx [D], Rep. Rachel Roberts [D], Rep. Sarah Stalker [D], Rep. Lisa Willner [D]</v>
      </c>
      <c r="H4" s="6">
        <f t="shared" si="1"/>
        <v>10</v>
      </c>
      <c r="I4" s="5">
        <v>7.0</v>
      </c>
      <c r="J4" s="5">
        <v>3.0</v>
      </c>
      <c r="K4" s="5">
        <v>0.0</v>
      </c>
      <c r="L4" s="6">
        <f t="shared" si="2"/>
        <v>0.7</v>
      </c>
      <c r="M4" s="5">
        <v>9.0</v>
      </c>
      <c r="N4" s="5">
        <v>1.0</v>
      </c>
      <c r="O4" s="5">
        <v>0.0</v>
      </c>
      <c r="P4" s="5">
        <v>0.0</v>
      </c>
      <c r="Q4" s="5">
        <v>0.0</v>
      </c>
      <c r="R4" s="5">
        <v>0.0</v>
      </c>
      <c r="S4" s="5">
        <v>0.0</v>
      </c>
      <c r="T4" s="6">
        <f t="shared" si="3"/>
        <v>0.1</v>
      </c>
      <c r="U4" s="5">
        <f t="shared" si="4"/>
        <v>8</v>
      </c>
      <c r="V4" s="5">
        <f t="shared" si="5"/>
        <v>2</v>
      </c>
      <c r="W4" s="5">
        <f t="shared" si="6"/>
        <v>0</v>
      </c>
      <c r="X4" s="6">
        <f t="shared" si="7"/>
        <v>0.8</v>
      </c>
    </row>
    <row r="5">
      <c r="A5" s="8" t="s">
        <v>38</v>
      </c>
      <c r="B5" s="8">
        <v>2021.0</v>
      </c>
      <c r="C5" s="8" t="s">
        <v>39</v>
      </c>
      <c r="D5" s="9" t="s">
        <v>40</v>
      </c>
      <c r="E5" s="8" t="s">
        <v>41</v>
      </c>
      <c r="F5" s="5" t="s">
        <v>42</v>
      </c>
      <c r="G5" s="6" t="str">
        <f>IFERROR(__xludf.DUMMYFUNCTION("""COMPUTED_VALUE"""),"Sen. Michelle Ugenti-Rita [R]")</f>
        <v>Sen. Michelle Ugenti-Rita [R]</v>
      </c>
      <c r="H5" s="6">
        <f t="shared" si="1"/>
        <v>1</v>
      </c>
      <c r="I5" s="5">
        <v>1.0</v>
      </c>
      <c r="J5" s="5">
        <v>0.0</v>
      </c>
      <c r="K5" s="5">
        <v>0.0</v>
      </c>
      <c r="L5" s="6">
        <f t="shared" si="2"/>
        <v>1</v>
      </c>
      <c r="M5" s="5">
        <v>1.0</v>
      </c>
      <c r="N5" s="5">
        <v>0.0</v>
      </c>
      <c r="O5" s="5">
        <v>0.0</v>
      </c>
      <c r="P5" s="5">
        <v>0.0</v>
      </c>
      <c r="Q5" s="5">
        <v>0.0</v>
      </c>
      <c r="R5" s="5">
        <v>0.0</v>
      </c>
      <c r="S5" s="5">
        <v>0.0</v>
      </c>
      <c r="T5" s="6">
        <f t="shared" si="3"/>
        <v>0</v>
      </c>
      <c r="U5" s="5">
        <f t="shared" si="4"/>
        <v>0</v>
      </c>
      <c r="V5" s="5">
        <f t="shared" si="5"/>
        <v>1</v>
      </c>
      <c r="W5" s="5">
        <f t="shared" si="6"/>
        <v>0</v>
      </c>
      <c r="X5" s="6">
        <f t="shared" si="7"/>
        <v>0</v>
      </c>
    </row>
    <row r="6">
      <c r="A6" s="3" t="s">
        <v>43</v>
      </c>
      <c r="B6" s="3">
        <v>2011.0</v>
      </c>
      <c r="C6" s="3" t="s">
        <v>44</v>
      </c>
      <c r="D6" s="4" t="s">
        <v>45</v>
      </c>
      <c r="E6" s="3" t="s">
        <v>46</v>
      </c>
      <c r="F6" s="5" t="s">
        <v>47</v>
      </c>
      <c r="G6" s="5" t="str">
        <f>IFERROR(__xludf.DUMMYFUNCTION("""COMPUTED_VALUE"""),"Sen. Johnny Key [R]")</f>
        <v>Sen. Johnny Key [R]</v>
      </c>
      <c r="H6" s="6">
        <f t="shared" si="1"/>
        <v>1</v>
      </c>
      <c r="I6" s="5">
        <v>0.0</v>
      </c>
      <c r="J6" s="5">
        <v>1.0</v>
      </c>
      <c r="K6" s="5">
        <v>0.0</v>
      </c>
      <c r="L6" s="6">
        <f t="shared" si="2"/>
        <v>0</v>
      </c>
      <c r="M6" s="5">
        <v>1.0</v>
      </c>
      <c r="N6" s="5">
        <v>0.0</v>
      </c>
      <c r="O6" s="5">
        <v>0.0</v>
      </c>
      <c r="P6" s="5">
        <v>0.0</v>
      </c>
      <c r="Q6" s="5">
        <v>0.0</v>
      </c>
      <c r="R6" s="5">
        <v>0.0</v>
      </c>
      <c r="S6" s="5">
        <v>0.0</v>
      </c>
      <c r="T6" s="6">
        <f t="shared" si="3"/>
        <v>0</v>
      </c>
      <c r="U6" s="5">
        <f t="shared" si="4"/>
        <v>0</v>
      </c>
      <c r="V6" s="5">
        <f t="shared" si="5"/>
        <v>1</v>
      </c>
      <c r="W6" s="5">
        <f t="shared" si="6"/>
        <v>0</v>
      </c>
      <c r="X6" s="6">
        <f t="shared" si="7"/>
        <v>0</v>
      </c>
    </row>
    <row r="7">
      <c r="A7" s="3" t="s">
        <v>48</v>
      </c>
      <c r="B7" s="3">
        <v>2024.0</v>
      </c>
      <c r="C7" s="3" t="s">
        <v>30</v>
      </c>
      <c r="D7" s="4" t="s">
        <v>49</v>
      </c>
      <c r="E7" s="3" t="s">
        <v>36</v>
      </c>
      <c r="F7" s="5" t="s">
        <v>50</v>
      </c>
      <c r="G7" s="6" t="str">
        <f>IFERROR(__xludf.DUMMYFUNCTION("""COMPUTED_VALUE"""),"Rep. G.A. Hardaway [D], Rep. Sam Whitson [R], Rep. Jeremy Faison [R], Rep. Charlie Baum [R], Rep. Patsy Hazlewood [R], Rep. Jerome Moon [R], Rep. Harold Love [D], Rep. Johnny Shaw [D], Rep. Karen Camper [D], Rep. Tim Hicks [R], Rep. Ed Butler [R], Rep. Ro"&amp;"nnie Glynn [D], Rep. Joe Towns [D], Rep. Gloria Johnson [D], Rep. Clay Doggett [R], Rep. John Gillespie [R], Rep. John Ragan [R], Rep. Andrew Farmer [R], Rep. Chris Hurt [R], Rep. Robert Stevens [R], Rep. Todd Warner [R], Rep. Mark White [R], Rep. Sam McK"&amp;"enzie [D], Rep. Kirk Haston [R], Rep. Monty Fritts [R], Rep. Gino Bulso [R], Rep. Rick Eldridge [R], Rep. Elaine Davis [R], Rep. John Clemmons [D], Rep. Larry Miller [D], Rep. Jesse Chism [D], Rep. Jason Powell [D], Rep. Rebecca Alexander [R], Rep. Dwayne"&amp;" Thompson [D], Rep. Vincent Dixie [D], Rep. Antonio Parkinson [D], Rep. Sabi Kumar [R]")</f>
        <v>Rep. G.A. Hardaway [D], Rep. Sam Whitson [R], Rep. Jeremy Faison [R], Rep. Charlie Baum [R], Rep. Patsy Hazlewood [R], Rep. Jerome Moon [R], Rep. Harold Love [D], Rep. Johnny Shaw [D], Rep. Karen Camper [D], Rep. Tim Hicks [R], Rep. Ed Butler [R], Rep. Ronnie Glynn [D], Rep. Joe Towns [D], Rep. Gloria Johnson [D], Rep. Clay Doggett [R], Rep. John Gillespie [R], Rep. John Ragan [R], Rep. Andrew Farmer [R], Rep. Chris Hurt [R], Rep. Robert Stevens [R], Rep. Todd Warner [R], Rep. Mark White [R], Rep. Sam McKenzie [D], Rep. Kirk Haston [R], Rep. Monty Fritts [R], Rep. Gino Bulso [R], Rep. Rick Eldridge [R], Rep. Elaine Davis [R], Rep. John Clemmons [D], Rep. Larry Miller [D], Rep. Jesse Chism [D], Rep. Jason Powell [D], Rep. Rebecca Alexander [R], Rep. Dwayne Thompson [D], Rep. Vincent Dixie [D], Rep. Antonio Parkinson [D], Rep. Sabi Kumar [R]</v>
      </c>
      <c r="H7" s="6">
        <f t="shared" si="1"/>
        <v>37</v>
      </c>
      <c r="I7" s="5">
        <v>6.0</v>
      </c>
      <c r="J7" s="5">
        <v>31.0</v>
      </c>
      <c r="K7" s="5">
        <v>0.0</v>
      </c>
      <c r="L7" s="6">
        <f t="shared" si="2"/>
        <v>0.1621621622</v>
      </c>
      <c r="M7" s="5">
        <v>26.0</v>
      </c>
      <c r="N7" s="5">
        <v>10.0</v>
      </c>
      <c r="O7" s="5">
        <v>0.0</v>
      </c>
      <c r="P7" s="5">
        <v>1.0</v>
      </c>
      <c r="Q7" s="5">
        <v>0.0</v>
      </c>
      <c r="R7" s="5">
        <v>0.0</v>
      </c>
      <c r="S7" s="5">
        <v>0.0</v>
      </c>
      <c r="T7" s="6">
        <f t="shared" si="3"/>
        <v>0.2972972973</v>
      </c>
      <c r="U7" s="7">
        <f t="shared" si="4"/>
        <v>15</v>
      </c>
      <c r="V7" s="7">
        <f t="shared" si="5"/>
        <v>22</v>
      </c>
      <c r="W7" s="7">
        <f t="shared" si="6"/>
        <v>0</v>
      </c>
      <c r="X7" s="6">
        <f t="shared" si="7"/>
        <v>0.4054054054</v>
      </c>
    </row>
    <row r="8">
      <c r="A8" s="3" t="s">
        <v>51</v>
      </c>
      <c r="B8" s="3">
        <v>2024.0</v>
      </c>
      <c r="C8" s="3" t="s">
        <v>52</v>
      </c>
      <c r="D8" s="7" t="s">
        <v>53</v>
      </c>
      <c r="E8" s="3" t="s">
        <v>54</v>
      </c>
      <c r="F8" s="5" t="s">
        <v>55</v>
      </c>
      <c r="G8" s="6" t="str">
        <f>IFERROR(__xludf.DUMMYFUNCTION("""COMPUTED_VALUE"""),"Rep. Jessica Fay [D]")</f>
        <v>Rep. Jessica Fay [D]</v>
      </c>
      <c r="H8" s="6">
        <f t="shared" si="1"/>
        <v>1</v>
      </c>
      <c r="I8" s="5">
        <v>1.0</v>
      </c>
      <c r="J8" s="5">
        <v>0.0</v>
      </c>
      <c r="K8" s="5">
        <v>0.0</v>
      </c>
      <c r="L8" s="6">
        <f t="shared" si="2"/>
        <v>1</v>
      </c>
      <c r="M8" s="5">
        <v>1.0</v>
      </c>
      <c r="N8" s="5">
        <v>0.0</v>
      </c>
      <c r="O8" s="5">
        <v>0.0</v>
      </c>
      <c r="P8" s="5">
        <v>0.0</v>
      </c>
      <c r="Q8" s="5">
        <v>0.0</v>
      </c>
      <c r="R8" s="5">
        <v>0.0</v>
      </c>
      <c r="S8" s="5">
        <v>0.0</v>
      </c>
      <c r="T8" s="6">
        <f t="shared" si="3"/>
        <v>0</v>
      </c>
      <c r="U8" s="5">
        <f t="shared" si="4"/>
        <v>1</v>
      </c>
      <c r="V8" s="5">
        <f t="shared" si="5"/>
        <v>0</v>
      </c>
      <c r="W8" s="5">
        <f t="shared" si="6"/>
        <v>0</v>
      </c>
      <c r="X8" s="6">
        <f t="shared" si="7"/>
        <v>1</v>
      </c>
    </row>
    <row r="9">
      <c r="A9" s="3" t="s">
        <v>56</v>
      </c>
      <c r="B9" s="3">
        <v>2022.0</v>
      </c>
      <c r="C9" s="3" t="s">
        <v>52</v>
      </c>
      <c r="D9" s="7" t="s">
        <v>57</v>
      </c>
      <c r="E9" s="3" t="s">
        <v>54</v>
      </c>
      <c r="F9" s="5" t="s">
        <v>58</v>
      </c>
      <c r="G9" s="6" t="str">
        <f>IFERROR(__xludf.DUMMYFUNCTION("""COMPUTED_VALUE"""),"Sen. Scott Wiener [D], Asm. Cristina Garcia [D], Sen. Sabrina Cervantes [D], Asm. Alex Lee [D], Asm. Evan Low [D]")</f>
        <v>Sen. Scott Wiener [D], Asm. Cristina Garcia [D], Sen. Sabrina Cervantes [D], Asm. Alex Lee [D], Asm. Evan Low [D]</v>
      </c>
      <c r="H9" s="6">
        <f t="shared" si="1"/>
        <v>5</v>
      </c>
      <c r="I9" s="5">
        <v>2.0</v>
      </c>
      <c r="J9" s="5">
        <v>3.0</v>
      </c>
      <c r="K9" s="5">
        <v>0.0</v>
      </c>
      <c r="L9" s="6">
        <f t="shared" si="2"/>
        <v>0.4</v>
      </c>
      <c r="M9" s="5">
        <v>1.0</v>
      </c>
      <c r="N9" s="5">
        <v>0.0</v>
      </c>
      <c r="O9" s="5">
        <v>2.0</v>
      </c>
      <c r="P9" s="5">
        <v>2.0</v>
      </c>
      <c r="Q9" s="5">
        <v>0.0</v>
      </c>
      <c r="R9" s="5">
        <v>0.0</v>
      </c>
      <c r="S9" s="5">
        <v>0.0</v>
      </c>
      <c r="T9" s="6">
        <f t="shared" si="3"/>
        <v>0.8</v>
      </c>
      <c r="U9" s="5">
        <f t="shared" si="4"/>
        <v>5</v>
      </c>
      <c r="V9" s="5">
        <f t="shared" si="5"/>
        <v>0</v>
      </c>
      <c r="W9" s="5">
        <f t="shared" si="6"/>
        <v>0</v>
      </c>
      <c r="X9" s="6">
        <f t="shared" si="7"/>
        <v>1</v>
      </c>
    </row>
    <row r="10">
      <c r="A10" s="3" t="s">
        <v>59</v>
      </c>
      <c r="B10" s="3">
        <v>2024.0</v>
      </c>
      <c r="C10" s="3" t="s">
        <v>52</v>
      </c>
      <c r="D10" s="7" t="s">
        <v>60</v>
      </c>
      <c r="E10" s="3" t="s">
        <v>54</v>
      </c>
      <c r="F10" s="5" t="s">
        <v>61</v>
      </c>
      <c r="G10" s="6" t="str">
        <f>IFERROR(__xludf.DUMMYFUNCTION("""COMPUTED_VALUE"""),"Sen. Matt Klein [D]")</f>
        <v>Sen. Matt Klein [D]</v>
      </c>
      <c r="H10" s="6">
        <f t="shared" si="1"/>
        <v>1</v>
      </c>
      <c r="I10" s="5">
        <v>0.0</v>
      </c>
      <c r="J10" s="5">
        <v>1.0</v>
      </c>
      <c r="K10" s="5">
        <v>0.0</v>
      </c>
      <c r="L10" s="6">
        <f t="shared" si="2"/>
        <v>0</v>
      </c>
      <c r="M10" s="5">
        <v>1.0</v>
      </c>
      <c r="N10" s="5">
        <v>0.0</v>
      </c>
      <c r="O10" s="5">
        <v>0.0</v>
      </c>
      <c r="P10" s="5">
        <v>0.0</v>
      </c>
      <c r="Q10" s="5">
        <v>0.0</v>
      </c>
      <c r="R10" s="5">
        <v>0.0</v>
      </c>
      <c r="S10" s="5">
        <v>0.0</v>
      </c>
      <c r="T10" s="6">
        <f t="shared" si="3"/>
        <v>0</v>
      </c>
      <c r="U10" s="5">
        <f t="shared" si="4"/>
        <v>1</v>
      </c>
      <c r="V10" s="5">
        <f t="shared" si="5"/>
        <v>0</v>
      </c>
      <c r="W10" s="5">
        <f t="shared" si="6"/>
        <v>0</v>
      </c>
      <c r="X10" s="6">
        <f t="shared" si="7"/>
        <v>1</v>
      </c>
    </row>
    <row r="11">
      <c r="A11" s="3" t="s">
        <v>62</v>
      </c>
      <c r="B11" s="3">
        <v>2024.0</v>
      </c>
      <c r="C11" s="3" t="s">
        <v>52</v>
      </c>
      <c r="D11" s="7" t="s">
        <v>63</v>
      </c>
      <c r="E11" s="3" t="s">
        <v>54</v>
      </c>
      <c r="F11" s="5" t="s">
        <v>64</v>
      </c>
      <c r="G11" s="6" t="str">
        <f>IFERROR(__xludf.DUMMYFUNCTION("""COMPUTED_VALUE"""),"Sen. Brad Hoylman-Sigal [D], Sen. Samra Brouk [D], Sen. Leroy Comrie [D], Sen. Jeremy Cooney [D], Sen. Nathalia Fernandez [D], Sen. Michael Gianaris [D], Sen. Andrew Gounardes [D], Sen. Michelle Hinchey [D], Sen. Robert Jackson [D], Sen. Timothy Kennedy ["&amp;"D], Sen. Liz Krueger [D], Sen. John Liu [D], Sen. Rachel May [D], Sen. Shelley Mayer [D], Sen. Kevin Parker [D], Sen. Jessica Ramos [D], Sen. Gustavo Rivera [D], Sen. Luis Sepulveda [D], Sen. Lea Webb [D]")</f>
        <v>Sen. Brad Hoylman-Sigal [D], Sen. Samra Brouk [D], Sen. Leroy Comrie [D], Sen. Jeremy Cooney [D], Sen. Nathalia Fernandez [D], Sen. Michael Gianaris [D], Sen. Andrew Gounardes [D], Sen. Michelle Hinchey [D], Sen. Robert Jackson [D], Sen. Timothy Kennedy [D], Sen. Liz Krueger [D], Sen. John Liu [D], Sen. Rachel May [D], Sen. Shelley Mayer [D], Sen. Kevin Parker [D], Sen. Jessica Ramos [D], Sen. Gustavo Rivera [D], Sen. Luis Sepulveda [D], Sen. Lea Webb [D]</v>
      </c>
      <c r="H11" s="6">
        <f t="shared" si="1"/>
        <v>19</v>
      </c>
      <c r="I11" s="5">
        <v>8.0</v>
      </c>
      <c r="J11" s="5">
        <v>11.0</v>
      </c>
      <c r="K11" s="5">
        <v>0.0</v>
      </c>
      <c r="L11" s="6">
        <f t="shared" si="2"/>
        <v>0.4210526316</v>
      </c>
      <c r="M11" s="5">
        <v>9.0</v>
      </c>
      <c r="N11" s="5">
        <v>5.0</v>
      </c>
      <c r="O11" s="5">
        <v>3.0</v>
      </c>
      <c r="P11" s="5">
        <v>2.0</v>
      </c>
      <c r="Q11" s="5">
        <v>0.0</v>
      </c>
      <c r="R11" s="5">
        <v>0.0</v>
      </c>
      <c r="S11" s="5">
        <v>0.0</v>
      </c>
      <c r="T11" s="6">
        <f t="shared" si="3"/>
        <v>0.5263157895</v>
      </c>
      <c r="U11" s="5">
        <f t="shared" si="4"/>
        <v>19</v>
      </c>
      <c r="V11" s="5">
        <f t="shared" si="5"/>
        <v>0</v>
      </c>
      <c r="W11" s="5">
        <f t="shared" si="6"/>
        <v>0</v>
      </c>
      <c r="X11" s="6">
        <f t="shared" si="7"/>
        <v>1</v>
      </c>
    </row>
    <row r="12">
      <c r="A12" s="3" t="s">
        <v>65</v>
      </c>
      <c r="B12" s="3">
        <v>2024.0</v>
      </c>
      <c r="C12" s="3" t="s">
        <v>52</v>
      </c>
      <c r="D12" s="4" t="s">
        <v>66</v>
      </c>
      <c r="E12" s="3" t="s">
        <v>54</v>
      </c>
      <c r="F12" s="5" t="s">
        <v>67</v>
      </c>
      <c r="G12" s="6" t="str">
        <f>IFERROR(__xludf.DUMMYFUNCTION("""COMPUTED_VALUE"""),"Sen. Dawn Euer [D], Sen. Tiara Mack [D], Sen. Ryan Pearson [D], Sen. Alana DiMario [D], Sen. Joshua Miller [D], Sen. Susan Sosnowski [D], Sen. Louis Dipalma [D], Sen. Mark McKenney [D], Sen. Melissa Murray [D], Sen. Frank Lombardi [D]")</f>
        <v>Sen. Dawn Euer [D], Sen. Tiara Mack [D], Sen. Ryan Pearson [D], Sen. Alana DiMario [D], Sen. Joshua Miller [D], Sen. Susan Sosnowski [D], Sen. Louis Dipalma [D], Sen. Mark McKenney [D], Sen. Melissa Murray [D], Sen. Frank Lombardi [D]</v>
      </c>
      <c r="H12" s="6">
        <f t="shared" si="1"/>
        <v>10</v>
      </c>
      <c r="I12" s="5">
        <v>5.0</v>
      </c>
      <c r="J12" s="5">
        <v>5.0</v>
      </c>
      <c r="K12" s="5">
        <v>0.0</v>
      </c>
      <c r="L12" s="6">
        <f t="shared" si="2"/>
        <v>0.5</v>
      </c>
      <c r="M12" s="5">
        <v>8.0</v>
      </c>
      <c r="N12" s="5">
        <v>2.0</v>
      </c>
      <c r="O12" s="5">
        <v>0.0</v>
      </c>
      <c r="P12" s="5">
        <v>0.0</v>
      </c>
      <c r="Q12" s="5">
        <v>0.0</v>
      </c>
      <c r="R12" s="5">
        <v>0.0</v>
      </c>
      <c r="S12" s="5">
        <v>0.0</v>
      </c>
      <c r="T12" s="6">
        <f t="shared" si="3"/>
        <v>0.2</v>
      </c>
      <c r="U12" s="7">
        <f t="shared" si="4"/>
        <v>10</v>
      </c>
      <c r="V12" s="7">
        <f t="shared" si="5"/>
        <v>0</v>
      </c>
      <c r="W12" s="7">
        <f t="shared" si="6"/>
        <v>0</v>
      </c>
      <c r="X12" s="6">
        <f t="shared" si="7"/>
        <v>1</v>
      </c>
    </row>
    <row r="13">
      <c r="A13" s="3" t="s">
        <v>65</v>
      </c>
      <c r="B13" s="3">
        <v>2024.0</v>
      </c>
      <c r="C13" s="3" t="s">
        <v>52</v>
      </c>
      <c r="D13" s="4" t="s">
        <v>68</v>
      </c>
      <c r="E13" s="3" t="s">
        <v>54</v>
      </c>
      <c r="F13" s="5" t="s">
        <v>69</v>
      </c>
      <c r="G13" s="6" t="str">
        <f>IFERROR(__xludf.DUMMYFUNCTION("""COMPUTED_VALUE"""),"Rep. John Edwards [D], Rep. Rebecca Kislak [D], Rep. Edith Ajello [D], Rep. Joseph McNamara [D], Rep. Katherine Kazarian [D], Rep. Jason Knight [D], Rep. Susan Donovan [D], Rep. Robert Craven [D], Rep. Hagan McEntee [D], Rep. Leonela Felix [D]")</f>
        <v>Rep. John Edwards [D], Rep. Rebecca Kislak [D], Rep. Edith Ajello [D], Rep. Joseph McNamara [D], Rep. Katherine Kazarian [D], Rep. Jason Knight [D], Rep. Susan Donovan [D], Rep. Robert Craven [D], Rep. Hagan McEntee [D], Rep. Leonela Felix [D]</v>
      </c>
      <c r="H13" s="6">
        <f t="shared" si="1"/>
        <v>10</v>
      </c>
      <c r="I13" s="5">
        <v>6.0</v>
      </c>
      <c r="J13" s="5">
        <v>4.0</v>
      </c>
      <c r="K13" s="5">
        <v>0.0</v>
      </c>
      <c r="L13" s="6">
        <f t="shared" si="2"/>
        <v>0.6</v>
      </c>
      <c r="M13" s="5">
        <v>9.0</v>
      </c>
      <c r="N13" s="5">
        <v>1.0</v>
      </c>
      <c r="O13" s="5">
        <v>0.0</v>
      </c>
      <c r="P13" s="5">
        <v>0.0</v>
      </c>
      <c r="Q13" s="5">
        <v>0.0</v>
      </c>
      <c r="R13" s="5">
        <v>0.0</v>
      </c>
      <c r="S13" s="5">
        <v>0.0</v>
      </c>
      <c r="T13" s="6">
        <f t="shared" si="3"/>
        <v>0.1</v>
      </c>
      <c r="U13" s="7">
        <f t="shared" si="4"/>
        <v>10</v>
      </c>
      <c r="V13" s="7">
        <f t="shared" si="5"/>
        <v>0</v>
      </c>
      <c r="W13" s="7">
        <f t="shared" si="6"/>
        <v>0</v>
      </c>
      <c r="X13" s="6">
        <f t="shared" si="7"/>
        <v>1</v>
      </c>
    </row>
    <row r="14">
      <c r="A14" s="3" t="s">
        <v>56</v>
      </c>
      <c r="B14" s="3">
        <v>2024.0</v>
      </c>
      <c r="C14" s="3" t="s">
        <v>44</v>
      </c>
      <c r="D14" s="4" t="s">
        <v>70</v>
      </c>
      <c r="E14" s="3" t="s">
        <v>46</v>
      </c>
      <c r="F14" s="5" t="s">
        <v>71</v>
      </c>
      <c r="G14" s="6" t="str">
        <f>IFERROR(__xludf.DUMMYFUNCTION("""COMPUTED_VALUE"""),"Sen. Caroline Menjivar [D] Asm. Buffy Wicks [D] Asm. Marc Berman [D] Sen. Sabrina Cervantes [D], Asm. Matt Haney [D] Asm. Evan Low [D] Asm. Gail Pellerin [D] Sen. Anthony Portantino [D], Sen. Susan Rubio [D] Sen. Scott Wiener [D]")</f>
        <v>Sen. Caroline Menjivar [D] Asm. Buffy Wicks [D] Asm. Marc Berman [D] Sen. Sabrina Cervantes [D], Asm. Matt Haney [D] Asm. Evan Low [D] Asm. Gail Pellerin [D] Sen. Anthony Portantino [D], Sen. Susan Rubio [D] Sen. Scott Wiener [D]</v>
      </c>
      <c r="H14" s="6">
        <f t="shared" si="1"/>
        <v>10</v>
      </c>
      <c r="I14" s="5">
        <v>5.0</v>
      </c>
      <c r="J14" s="5">
        <v>5.0</v>
      </c>
      <c r="K14" s="5">
        <v>0.0</v>
      </c>
      <c r="L14" s="6">
        <f t="shared" si="2"/>
        <v>0.5</v>
      </c>
      <c r="M14" s="5">
        <v>6.0</v>
      </c>
      <c r="N14" s="5">
        <v>0.0</v>
      </c>
      <c r="O14" s="5">
        <v>3.0</v>
      </c>
      <c r="P14" s="5">
        <v>1.0</v>
      </c>
      <c r="Q14" s="5">
        <v>0.0</v>
      </c>
      <c r="R14" s="5">
        <v>0.0</v>
      </c>
      <c r="S14" s="5">
        <v>0.0</v>
      </c>
      <c r="T14" s="6">
        <f t="shared" si="3"/>
        <v>0.4</v>
      </c>
      <c r="U14" s="5">
        <f t="shared" si="4"/>
        <v>10</v>
      </c>
      <c r="V14" s="5">
        <f t="shared" si="5"/>
        <v>0</v>
      </c>
      <c r="W14" s="5">
        <f t="shared" si="6"/>
        <v>0</v>
      </c>
      <c r="X14" s="6">
        <f t="shared" si="7"/>
        <v>1</v>
      </c>
    </row>
    <row r="15">
      <c r="A15" s="3" t="s">
        <v>72</v>
      </c>
      <c r="B15" s="3">
        <v>2024.0</v>
      </c>
      <c r="C15" s="3" t="s">
        <v>44</v>
      </c>
      <c r="D15" s="4" t="s">
        <v>73</v>
      </c>
      <c r="E15" s="3" t="s">
        <v>74</v>
      </c>
      <c r="F15" s="5" t="s">
        <v>75</v>
      </c>
      <c r="G15" s="6" t="str">
        <f>IFERROR(__xludf.DUMMYFUNCTION("""COMPUTED_VALUE"""),"Sen. Cristina Castro [D], Sen. Michael Hastings [D], Sen. Celina Villanueva [D], Sen. Adriane Johnson [D], Sen. Suzanne Glowiak Hilton [D], Sen. Steve Stadelman [D], Sen. Natalie Toro [D], Sen. Christopher Belt [D], Sen. Doris Turner [D], Sen. Linda Holme"&amp;"s [D], Sen. Julie Morrison [D], Sen. Ram Villivalam [D], Sen. Rachel Ventura [D], Sen. Sara Feigenholtz [D], Sen. Meg Loughran Cappel [D], Sen. David Koehler [D], Sen. Mike Porfirio [D], Sen. Mattie Hunter [D], Sen. Lakesia Collins [D], Sen. Laura Ellman "&amp;"[D], Sen. Michael Halpin [D], Sen. Robert Peters [D], Sen. Mark Walker [D], Sen. Paul Faraci [D], Sen. Laura Murphy [D], Sen. Mary Edly-Allen [D], Sen. Mike Simmons [D], Rep. Margaret Croke [D], Rep. Terra Costa Howard [D], Rep. Harry Benton [D], Rep. Bra"&amp;"dley Stephens [R], Rep. Jehan Gordon-Booth [D], Rep. Michelle Mussman [D], Rep. Camille Lilly [D], Rep. Robyn Gabel [D], Rep. Jawaharial Williams [D], Rep. Michael Kelly [D], Rep. Diane Blair-Sherlock [D], Rep. Daniel Didech [D], Rep. Elizabeth Hernandez "&amp;"[D], Rep. Matt Hanson [D], Rep. Jenn Ladisch Douglass [D], Rep. Stephanie Kifowit [D], Rep. Sue Scherer [D], Rep. Robert Rita [D], Rep. Jaime Andrade [D], Rep. Nicole La Ha [R], Rep. Patrick Sheehan [R], Rep. Lilian Jimenez [D], Rep. Norma Hernandez [D], "&amp;"Rep. Ann Williams [D], Rep. Jennifer Gong-Gershowitz [D], Rep. Katie Stuart [D], Rep. Janet Yang Rohr [D], Rep. Anne Stava-Murray [D], Rep. Angelica Guerrero-Cuellar [D], Rep. Emanuel Welch [D], Rep. Bob Morgan [D]")</f>
        <v>Sen. Cristina Castro [D], Sen. Michael Hastings [D], Sen. Celina Villanueva [D], Sen. Adriane Johnson [D], Sen. Suzanne Glowiak Hilton [D], Sen. Steve Stadelman [D], Sen. Natalie Toro [D], Sen. Christopher Belt [D], Sen. Doris Turner [D], Sen. Linda Holmes [D], Sen. Julie Morrison [D], Sen. Ram Villivalam [D], Sen. Rachel Ventura [D], Sen. Sara Feigenholtz [D], Sen. Meg Loughran Cappel [D], Sen. David Koehler [D], Sen. Mike Porfirio [D], Sen. Mattie Hunter [D], Sen. Lakesia Collins [D], Sen. Laura Ellman [D], Sen. Michael Halpin [D], Sen. Robert Peters [D], Sen. Mark Walker [D], Sen. Paul Faraci [D], Sen. Laura Murphy [D], Sen. Mary Edly-Allen [D], Sen. Mike Simmons [D], Rep. Margaret Croke [D], Rep. Terra Costa Howard [D], Rep. Harry Benton [D], Rep. Bradley Stephens [R], Rep. Jehan Gordon-Booth [D], Rep. Michelle Mussman [D], Rep. Camille Lilly [D], Rep. Robyn Gabel [D], Rep. Jawaharial Williams [D], Rep. Michael Kelly [D], Rep. Diane Blair-Sherlock [D], Rep. Daniel Didech [D], Rep. Elizabeth Hernandez [D], Rep. Matt Hanson [D], Rep. Jenn Ladisch Douglass [D], Rep. Stephanie Kifowit [D], Rep. Sue Scherer [D], Rep. Robert Rita [D], Rep. Jaime Andrade [D], Rep. Nicole La Ha [R], Rep. Patrick Sheehan [R], Rep. Lilian Jimenez [D], Rep. Norma Hernandez [D], Rep. Ann Williams [D], Rep. Jennifer Gong-Gershowitz [D], Rep. Katie Stuart [D], Rep. Janet Yang Rohr [D], Rep. Anne Stava-Murray [D], Rep. Angelica Guerrero-Cuellar [D], Rep. Emanuel Welch [D], Rep. Bob Morgan [D]</v>
      </c>
      <c r="H15" s="6">
        <f t="shared" si="1"/>
        <v>58</v>
      </c>
      <c r="I15" s="5">
        <v>36.0</v>
      </c>
      <c r="J15" s="5">
        <v>22.0</v>
      </c>
      <c r="K15" s="5">
        <v>0.0</v>
      </c>
      <c r="L15" s="6">
        <f t="shared" si="2"/>
        <v>0.6206896552</v>
      </c>
      <c r="M15" s="5">
        <v>39.0</v>
      </c>
      <c r="N15" s="5">
        <v>8.0</v>
      </c>
      <c r="O15" s="5">
        <v>9.0</v>
      </c>
      <c r="P15" s="5">
        <v>2.0</v>
      </c>
      <c r="Q15" s="5">
        <v>0.0</v>
      </c>
      <c r="R15" s="5">
        <v>0.0</v>
      </c>
      <c r="S15" s="5">
        <v>0.0</v>
      </c>
      <c r="T15" s="6">
        <f t="shared" si="3"/>
        <v>0.3275862069</v>
      </c>
      <c r="U15" s="5">
        <f t="shared" si="4"/>
        <v>55</v>
      </c>
      <c r="V15" s="5">
        <f t="shared" si="5"/>
        <v>3</v>
      </c>
      <c r="W15" s="5">
        <f t="shared" si="6"/>
        <v>0</v>
      </c>
      <c r="X15" s="6">
        <f t="shared" si="7"/>
        <v>0.9482758621</v>
      </c>
    </row>
    <row r="16">
      <c r="A16" s="3" t="s">
        <v>76</v>
      </c>
      <c r="B16" s="3">
        <v>2024.0</v>
      </c>
      <c r="C16" s="3" t="s">
        <v>44</v>
      </c>
      <c r="D16" s="4" t="s">
        <v>77</v>
      </c>
      <c r="E16" s="3" t="s">
        <v>74</v>
      </c>
      <c r="F16" s="5" t="s">
        <v>78</v>
      </c>
      <c r="G16" s="6" t="str">
        <f>IFERROR(__xludf.DUMMYFUNCTION("""COMPUTED_VALUE"""),"Sen. Ally Seifried [R], Rep. Josh West [R], Rep. Amanda Swope [D], Rep. Ellyn Hefner [D], Sen. David Bullard [R], Sen. Jessica Garvin [R]")</f>
        <v>Sen. Ally Seifried [R], Rep. Josh West [R], Rep. Amanda Swope [D], Rep. Ellyn Hefner [D], Sen. David Bullard [R], Sen. Jessica Garvin [R]</v>
      </c>
      <c r="H16" s="6">
        <f t="shared" si="1"/>
        <v>6</v>
      </c>
      <c r="I16" s="5">
        <v>4.0</v>
      </c>
      <c r="J16" s="5">
        <v>2.0</v>
      </c>
      <c r="K16" s="5">
        <v>0.0</v>
      </c>
      <c r="L16" s="6">
        <f t="shared" si="2"/>
        <v>0.6666666667</v>
      </c>
      <c r="M16" s="5">
        <v>5.0</v>
      </c>
      <c r="N16" s="5">
        <v>0.0</v>
      </c>
      <c r="O16" s="5">
        <v>0.0</v>
      </c>
      <c r="P16" s="5">
        <v>0.0</v>
      </c>
      <c r="Q16" s="5">
        <v>1.0</v>
      </c>
      <c r="R16" s="5">
        <v>0.0</v>
      </c>
      <c r="S16" s="5">
        <v>0.0</v>
      </c>
      <c r="T16" s="6">
        <f t="shared" si="3"/>
        <v>0.1666666667</v>
      </c>
      <c r="U16" s="7">
        <f t="shared" si="4"/>
        <v>2</v>
      </c>
      <c r="V16" s="7">
        <f t="shared" si="5"/>
        <v>4</v>
      </c>
      <c r="W16" s="7">
        <f t="shared" si="6"/>
        <v>0</v>
      </c>
      <c r="X16" s="6">
        <f t="shared" si="7"/>
        <v>0.3333333333</v>
      </c>
    </row>
    <row r="17">
      <c r="A17" s="3" t="s">
        <v>56</v>
      </c>
      <c r="B17" s="3">
        <v>2018.0</v>
      </c>
      <c r="C17" s="3" t="s">
        <v>52</v>
      </c>
      <c r="D17" s="4" t="s">
        <v>79</v>
      </c>
      <c r="E17" s="3" t="s">
        <v>54</v>
      </c>
      <c r="F17" s="5" t="s">
        <v>80</v>
      </c>
      <c r="G17" s="6" t="str">
        <f>IFERROR(__xludf.DUMMYFUNCTION("""COMPUTED_VALUE"""),"Asm. Todd Gloria [D], Sen. Scott Wiener [D]")</f>
        <v>Asm. Todd Gloria [D], Sen. Scott Wiener [D]</v>
      </c>
      <c r="H17" s="6">
        <f t="shared" si="1"/>
        <v>2</v>
      </c>
      <c r="I17" s="5">
        <v>0.0</v>
      </c>
      <c r="J17" s="5">
        <v>2.0</v>
      </c>
      <c r="K17" s="5">
        <v>0.0</v>
      </c>
      <c r="L17" s="6">
        <f t="shared" si="2"/>
        <v>0</v>
      </c>
      <c r="M17" s="5">
        <v>1.0</v>
      </c>
      <c r="N17" s="5">
        <v>0.0</v>
      </c>
      <c r="O17" s="5">
        <v>0.0</v>
      </c>
      <c r="P17" s="5">
        <v>1.0</v>
      </c>
      <c r="Q17" s="5">
        <v>0.0</v>
      </c>
      <c r="R17" s="5">
        <v>0.0</v>
      </c>
      <c r="S17" s="5">
        <v>0.0</v>
      </c>
      <c r="T17" s="6">
        <f t="shared" si="3"/>
        <v>0.5</v>
      </c>
      <c r="U17" s="5">
        <f t="shared" si="4"/>
        <v>2</v>
      </c>
      <c r="V17" s="5">
        <f t="shared" si="5"/>
        <v>0</v>
      </c>
      <c r="W17" s="5">
        <f t="shared" si="6"/>
        <v>0</v>
      </c>
      <c r="X17" s="6">
        <f t="shared" si="7"/>
        <v>1</v>
      </c>
    </row>
    <row r="18">
      <c r="A18" s="8" t="s">
        <v>29</v>
      </c>
      <c r="B18" s="8">
        <v>2024.0</v>
      </c>
      <c r="C18" s="8" t="s">
        <v>39</v>
      </c>
      <c r="D18" s="8" t="s">
        <v>81</v>
      </c>
      <c r="E18" s="8" t="s">
        <v>41</v>
      </c>
      <c r="F18" s="5" t="s">
        <v>82</v>
      </c>
      <c r="G18" s="5" t="str">
        <f>IFERROR(__xludf.DUMMYFUNCTION("""COMPUTED_VALUE"""),"Sen. Kyle Gay [D], Rep. Debra Heffernan [D], Rep. Melissa Minor-Brown [D], Rep. Sherry Dorsey Walker [D], Rep. Krista Griffith [D], Rep. Larry Lambert [D], Sen. Stephanie Hansen [D], Sen. Kyra Hoffner [D], Sen. Russ Huxtable [D], Sen. Sarah McBride [D], S"&amp;"en. Marie Pinkney [D], Sen. Nicole Poore [D], Rep. Kendra Johnson [D], Rep. Valerie Longhurst [D], Rep. Sean Lynn [D], Rep. Eric Morrison [D], Rep. DeShanna Neal [D], Rep. Cyndie Romer [D]")</f>
        <v>Sen. Kyle Gay [D], Rep. Debra Heffernan [D], Rep. Melissa Minor-Brown [D], Rep. Sherry Dorsey Walker [D], Rep. Krista Griffith [D], Rep. Larry Lambert [D], Sen. Stephanie Hansen [D], Sen. Kyra Hoffner [D], Sen. Russ Huxtable [D], Sen. Sarah McBride [D], Sen. Marie Pinkney [D], Sen. Nicole Poore [D], Rep. Kendra Johnson [D], Rep. Valerie Longhurst [D], Rep. Sean Lynn [D], Rep. Eric Morrison [D], Rep. DeShanna Neal [D], Rep. Cyndie Romer [D]</v>
      </c>
      <c r="H18" s="6">
        <f t="shared" si="1"/>
        <v>18</v>
      </c>
      <c r="I18" s="5">
        <v>14.0</v>
      </c>
      <c r="J18" s="5">
        <v>3.0</v>
      </c>
      <c r="K18" s="5">
        <v>1.0</v>
      </c>
      <c r="L18" s="6">
        <f t="shared" si="2"/>
        <v>0.7777777778</v>
      </c>
      <c r="M18" s="5">
        <v>12.0</v>
      </c>
      <c r="N18" s="5">
        <v>6.0</v>
      </c>
      <c r="O18" s="5">
        <v>0.0</v>
      </c>
      <c r="P18" s="5">
        <v>0.0</v>
      </c>
      <c r="Q18" s="5">
        <v>0.0</v>
      </c>
      <c r="R18" s="5">
        <v>0.0</v>
      </c>
      <c r="S18" s="5">
        <v>0.0</v>
      </c>
      <c r="T18" s="6">
        <f t="shared" si="3"/>
        <v>0.3333333333</v>
      </c>
      <c r="U18" s="5">
        <f t="shared" si="4"/>
        <v>18</v>
      </c>
      <c r="V18" s="5">
        <f t="shared" si="5"/>
        <v>0</v>
      </c>
      <c r="W18" s="5">
        <f t="shared" si="6"/>
        <v>0</v>
      </c>
      <c r="X18" s="6">
        <f t="shared" si="7"/>
        <v>1</v>
      </c>
    </row>
    <row r="19">
      <c r="A19" s="8" t="s">
        <v>83</v>
      </c>
      <c r="B19" s="8">
        <v>2024.0</v>
      </c>
      <c r="C19" s="8" t="s">
        <v>39</v>
      </c>
      <c r="D19" s="9" t="s">
        <v>84</v>
      </c>
      <c r="E19" s="8" t="s">
        <v>85</v>
      </c>
      <c r="F19" s="5" t="s">
        <v>86</v>
      </c>
      <c r="G19" s="5" t="str">
        <f>IFERROR(__xludf.DUMMYFUNCTION("""COMPUTED_VALUE"""),"Rep. Stephanie Young [D], Rep. Kara Hope [D], Rep. Emily Dievendorf [D], Rep. Erin Byrnes [D], Rep. Carol Glanville [D], Rep. Jennifer Conlin [D], Rep. Sharon MacDonell [D], Rep. Alabas Farhat [D], Rep. Julie Brixie [D], Rep. Carrie Rheingans [D], Rep. Mi"&amp;"ke McFall [D], Rep. Jason Morgan [D], Rep. Natalie Price [D], Rep. Jimmie Wilson [D]")</f>
        <v>Rep. Stephanie Young [D], Rep. Kara Hope [D], Rep. Emily Dievendorf [D], Rep. Erin Byrnes [D], Rep. Carol Glanville [D], Rep. Jennifer Conlin [D], Rep. Sharon MacDonell [D], Rep. Alabas Farhat [D], Rep. Julie Brixie [D], Rep. Carrie Rheingans [D], Rep. Mike McFall [D], Rep. Jason Morgan [D], Rep. Natalie Price [D], Rep. Jimmie Wilson [D]</v>
      </c>
      <c r="H19" s="6">
        <f t="shared" si="1"/>
        <v>14</v>
      </c>
      <c r="I19" s="5">
        <v>10.0</v>
      </c>
      <c r="J19" s="5">
        <v>4.0</v>
      </c>
      <c r="K19" s="5">
        <v>0.0</v>
      </c>
      <c r="L19" s="6">
        <f t="shared" si="2"/>
        <v>0.7142857143</v>
      </c>
      <c r="M19" s="5">
        <v>12.0</v>
      </c>
      <c r="N19" s="5">
        <v>1.0</v>
      </c>
      <c r="O19" s="5">
        <v>0.0</v>
      </c>
      <c r="P19" s="5">
        <v>0.0</v>
      </c>
      <c r="Q19" s="5">
        <v>0.0</v>
      </c>
      <c r="R19" s="5">
        <v>1.0</v>
      </c>
      <c r="S19" s="5">
        <v>0.0</v>
      </c>
      <c r="T19" s="6">
        <f t="shared" si="3"/>
        <v>0.1428571429</v>
      </c>
      <c r="U19" s="5">
        <f t="shared" si="4"/>
        <v>14</v>
      </c>
      <c r="V19" s="5">
        <f t="shared" si="5"/>
        <v>0</v>
      </c>
      <c r="W19" s="5">
        <f t="shared" si="6"/>
        <v>0</v>
      </c>
      <c r="X19" s="6">
        <f t="shared" si="7"/>
        <v>1</v>
      </c>
    </row>
    <row r="20">
      <c r="A20" s="3" t="s">
        <v>29</v>
      </c>
      <c r="B20" s="3">
        <v>2024.0</v>
      </c>
      <c r="C20" s="3" t="s">
        <v>87</v>
      </c>
      <c r="D20" s="4" t="s">
        <v>88</v>
      </c>
      <c r="E20" s="3" t="s">
        <v>89</v>
      </c>
      <c r="F20" s="5" t="s">
        <v>82</v>
      </c>
      <c r="G20" s="5" t="str">
        <f>IFERROR(__xludf.DUMMYFUNCTION("""COMPUTED_VALUE"""),"Sen. Kyle Gay [D], Rep. Debra Heffernan [D], Rep. Melissa Minor-Brown [D], Rep. Sherry Dorsey Walker [D], Rep. Krista Griffith [D], Rep. Larry Lambert [D], Sen. Stephanie Hansen [D], Sen. Kyra Hoffner [D], Sen. Russ Huxtable [D], Sen. Sarah McBride [D], S"&amp;"en. Marie Pinkney [D], Sen. Nicole Poore [D], Rep. Kendra Johnson [D], Rep. Valerie Longhurst [D], Rep. Sean Lynn [D], Rep. Eric Morrison [D], Rep. DeShanna Neal [D], Rep. Cyndie Romer [D]")</f>
        <v>Sen. Kyle Gay [D], Rep. Debra Heffernan [D], Rep. Melissa Minor-Brown [D], Rep. Sherry Dorsey Walker [D], Rep. Krista Griffith [D], Rep. Larry Lambert [D], Sen. Stephanie Hansen [D], Sen. Kyra Hoffner [D], Sen. Russ Huxtable [D], Sen. Sarah McBride [D], Sen. Marie Pinkney [D], Sen. Nicole Poore [D], Rep. Kendra Johnson [D], Rep. Valerie Longhurst [D], Rep. Sean Lynn [D], Rep. Eric Morrison [D], Rep. DeShanna Neal [D], Rep. Cyndie Romer [D]</v>
      </c>
      <c r="H20" s="6">
        <f t="shared" si="1"/>
        <v>18</v>
      </c>
      <c r="I20" s="5">
        <v>13.0</v>
      </c>
      <c r="J20" s="5">
        <v>4.0</v>
      </c>
      <c r="K20" s="5">
        <v>1.0</v>
      </c>
      <c r="L20" s="6">
        <f t="shared" si="2"/>
        <v>0.7222222222</v>
      </c>
      <c r="M20" s="5">
        <v>12.0</v>
      </c>
      <c r="N20" s="5">
        <v>6.0</v>
      </c>
      <c r="O20" s="5">
        <v>0.0</v>
      </c>
      <c r="P20" s="5">
        <v>0.0</v>
      </c>
      <c r="Q20" s="5">
        <v>0.0</v>
      </c>
      <c r="R20" s="5">
        <v>0.0</v>
      </c>
      <c r="S20" s="5">
        <v>0.0</v>
      </c>
      <c r="T20" s="6">
        <f t="shared" si="3"/>
        <v>0.3333333333</v>
      </c>
      <c r="U20" s="5">
        <f t="shared" si="4"/>
        <v>18</v>
      </c>
      <c r="V20" s="5">
        <f t="shared" si="5"/>
        <v>0</v>
      </c>
      <c r="W20" s="5">
        <f t="shared" si="6"/>
        <v>0</v>
      </c>
      <c r="X20" s="6">
        <f t="shared" si="7"/>
        <v>1</v>
      </c>
    </row>
    <row r="21">
      <c r="A21" s="3" t="s">
        <v>51</v>
      </c>
      <c r="B21" s="3">
        <v>2024.0</v>
      </c>
      <c r="C21" s="3" t="s">
        <v>90</v>
      </c>
      <c r="D21" s="4" t="s">
        <v>91</v>
      </c>
      <c r="E21" s="3" t="s">
        <v>92</v>
      </c>
      <c r="F21" s="5" t="s">
        <v>93</v>
      </c>
      <c r="G21" s="5" t="str">
        <f>IFERROR(__xludf.DUMMYFUNCTION("""COMPUTED_VALUE"""),"Rep. Poppy Arford [D] Sen. Donna Bailey [D] Rep. Sally Cluchey [D] Sen. Matthea Larsen Daughtry [D], Rep. Raegan LaRochelle [D] Rep. Nina Milliken [D] Rep. Anne Perry [D] Rep. Suzanne Salisbury [D], Sen. Rachel Talbot Ross [D] Sen. Eloise Vitelli [D]")</f>
        <v>Rep. Poppy Arford [D] Sen. Donna Bailey [D] Rep. Sally Cluchey [D] Sen. Matthea Larsen Daughtry [D], Rep. Raegan LaRochelle [D] Rep. Nina Milliken [D] Rep. Anne Perry [D] Rep. Suzanne Salisbury [D], Sen. Rachel Talbot Ross [D] Sen. Eloise Vitelli [D]</v>
      </c>
      <c r="H21" s="6">
        <f t="shared" si="1"/>
        <v>10</v>
      </c>
      <c r="I21" s="5">
        <v>10.0</v>
      </c>
      <c r="J21" s="5">
        <v>0.0</v>
      </c>
      <c r="K21" s="5">
        <v>0.0</v>
      </c>
      <c r="L21" s="6">
        <f t="shared" si="2"/>
        <v>1</v>
      </c>
      <c r="M21" s="5">
        <v>9.0</v>
      </c>
      <c r="N21" s="5">
        <v>1.0</v>
      </c>
      <c r="O21" s="5">
        <v>0.0</v>
      </c>
      <c r="P21" s="5">
        <v>0.0</v>
      </c>
      <c r="Q21" s="5">
        <v>0.0</v>
      </c>
      <c r="R21" s="5">
        <v>0.0</v>
      </c>
      <c r="S21" s="5">
        <v>0.0</v>
      </c>
      <c r="T21" s="6">
        <f t="shared" si="3"/>
        <v>0.1</v>
      </c>
      <c r="U21" s="5">
        <f t="shared" si="4"/>
        <v>10</v>
      </c>
      <c r="V21" s="5">
        <f t="shared" si="5"/>
        <v>0</v>
      </c>
      <c r="W21" s="5">
        <f t="shared" si="6"/>
        <v>0</v>
      </c>
      <c r="X21" s="6">
        <f t="shared" si="7"/>
        <v>1</v>
      </c>
    </row>
    <row r="22">
      <c r="A22" s="3" t="s">
        <v>94</v>
      </c>
      <c r="B22" s="3">
        <v>2024.0</v>
      </c>
      <c r="C22" s="3" t="s">
        <v>95</v>
      </c>
      <c r="D22" s="4" t="s">
        <v>96</v>
      </c>
      <c r="E22" s="3" t="s">
        <v>97</v>
      </c>
      <c r="F22" s="5" t="s">
        <v>98</v>
      </c>
      <c r="G22" s="5" t="str">
        <f>IFERROR(__xludf.DUMMYFUNCTION("""COMPUTED_VALUE"""),"Sen. Jim Guthrie [R], Rep. Ned Burns [D], Sen. Linda Hartgen [R], Rep. Susan Chew [D], Sen. Abby Lee [R], Rep. Chenele Dixon [R], Sen. James Ruchti [D], Rep. Lori McCann [R], Sen. Ron Taylor [D], Rep. Josh Wheeler [R], Sen. Janie Ward-Engelking [D], Rep. "&amp;"Dan Garner [R], Rep. Richard Cheatum [R], Rep. Julie Yamamoto [R], Rep. Christopher Allgood [R], Rep. Jeff Cornilles [R], Rep. Clay Handy [R], Rep. Rod Furniss [R], Rep. Stephanie Mickelsen [R], Rep. John Vander Woude [R], Rep. Kenny Wroten [R], Rep. Jame"&amp;"s Holtzclaw [R]")</f>
        <v>Sen. Jim Guthrie [R], Rep. Ned Burns [D], Sen. Linda Hartgen [R], Rep. Susan Chew [D], Sen. Abby Lee [R], Rep. Chenele Dixon [R], Sen. James Ruchti [D], Rep. Lori McCann [R], Sen. Ron Taylor [D], Rep. Josh Wheeler [R], Sen. Janie Ward-Engelking [D], Rep. Dan Garner [R], Rep. Richard Cheatum [R], Rep. Julie Yamamoto [R], Rep. Christopher Allgood [R], Rep. Jeff Cornilles [R], Rep. Clay Handy [R], Rep. Rod Furniss [R], Rep. Stephanie Mickelsen [R], Rep. John Vander Woude [R], Rep. Kenny Wroten [R], Rep. James Holtzclaw [R]</v>
      </c>
      <c r="H22" s="6">
        <f t="shared" si="1"/>
        <v>22</v>
      </c>
      <c r="I22" s="5">
        <v>8.0</v>
      </c>
      <c r="J22" s="5">
        <v>14.0</v>
      </c>
      <c r="K22" s="5">
        <v>0.0</v>
      </c>
      <c r="L22" s="6">
        <f t="shared" si="2"/>
        <v>0.3636363636</v>
      </c>
      <c r="M22" s="5">
        <v>20.0</v>
      </c>
      <c r="N22" s="5">
        <v>0.0</v>
      </c>
      <c r="O22" s="5">
        <v>0.0</v>
      </c>
      <c r="P22" s="5">
        <v>1.0</v>
      </c>
      <c r="Q22" s="5">
        <v>0.0</v>
      </c>
      <c r="R22" s="5">
        <v>1.0</v>
      </c>
      <c r="S22" s="5">
        <v>0.0</v>
      </c>
      <c r="T22" s="6">
        <f t="shared" si="3"/>
        <v>0.09090909091</v>
      </c>
      <c r="U22" s="5">
        <f t="shared" si="4"/>
        <v>5</v>
      </c>
      <c r="V22" s="5">
        <f t="shared" si="5"/>
        <v>17</v>
      </c>
      <c r="W22" s="5">
        <f t="shared" si="6"/>
        <v>0</v>
      </c>
      <c r="X22" s="6">
        <f t="shared" si="7"/>
        <v>0.2272727273</v>
      </c>
    </row>
    <row r="23">
      <c r="A23" s="3" t="s">
        <v>51</v>
      </c>
      <c r="B23" s="3">
        <v>2024.0</v>
      </c>
      <c r="C23" s="3" t="s">
        <v>95</v>
      </c>
      <c r="D23" s="4" t="s">
        <v>91</v>
      </c>
      <c r="E23" s="3" t="s">
        <v>99</v>
      </c>
      <c r="F23" s="5" t="s">
        <v>93</v>
      </c>
      <c r="G23" s="5" t="str">
        <f>IFERROR(__xludf.DUMMYFUNCTION("""COMPUTED_VALUE"""),"Rep. Poppy Arford [D] Sen. Donna Bailey [D] Rep. Sally Cluchey [D] Sen. Matthea Larsen Daughtry [D], Rep. Raegan LaRochelle [D] Rep. Nina Milliken [D] Rep. Anne Perry [D] Rep. Suzanne Salisbury [D], Sen. Rachel Talbot Ross [D] Sen. Eloise Vitelli [D]")</f>
        <v>Rep. Poppy Arford [D] Sen. Donna Bailey [D] Rep. Sally Cluchey [D] Sen. Matthea Larsen Daughtry [D], Rep. Raegan LaRochelle [D] Rep. Nina Milliken [D] Rep. Anne Perry [D] Rep. Suzanne Salisbury [D], Sen. Rachel Talbot Ross [D] Sen. Eloise Vitelli [D]</v>
      </c>
      <c r="H23" s="6">
        <f t="shared" si="1"/>
        <v>10</v>
      </c>
      <c r="I23" s="5">
        <v>10.0</v>
      </c>
      <c r="J23" s="5">
        <v>0.0</v>
      </c>
      <c r="K23" s="5">
        <v>0.0</v>
      </c>
      <c r="L23" s="6">
        <f t="shared" si="2"/>
        <v>1</v>
      </c>
      <c r="M23" s="5">
        <v>9.0</v>
      </c>
      <c r="N23" s="5">
        <v>1.0</v>
      </c>
      <c r="O23" s="5">
        <v>0.0</v>
      </c>
      <c r="P23" s="5">
        <v>0.0</v>
      </c>
      <c r="Q23" s="5">
        <v>0.0</v>
      </c>
      <c r="R23" s="5">
        <v>0.0</v>
      </c>
      <c r="S23" s="5">
        <v>0.0</v>
      </c>
      <c r="T23" s="6">
        <f t="shared" si="3"/>
        <v>0.1</v>
      </c>
      <c r="U23" s="5">
        <f t="shared" si="4"/>
        <v>10</v>
      </c>
      <c r="V23" s="5">
        <f t="shared" si="5"/>
        <v>0</v>
      </c>
      <c r="W23" s="5">
        <f t="shared" si="6"/>
        <v>0</v>
      </c>
      <c r="X23" s="6">
        <f t="shared" si="7"/>
        <v>1</v>
      </c>
    </row>
    <row r="24">
      <c r="A24" s="8" t="s">
        <v>100</v>
      </c>
      <c r="B24" s="8">
        <v>2010.0</v>
      </c>
      <c r="C24" s="8" t="s">
        <v>39</v>
      </c>
      <c r="D24" s="9" t="s">
        <v>101</v>
      </c>
      <c r="E24" s="8" t="s">
        <v>41</v>
      </c>
      <c r="F24" s="5" t="s">
        <v>102</v>
      </c>
      <c r="G24" s="5" t="str">
        <f>IFERROR(__xludf.DUMMYFUNCTION("""COMPUTED_VALUE"""),"Sen. Joyce Foster [D], Rep. Jerry Frangas [D]")</f>
        <v>Sen. Joyce Foster [D], Rep. Jerry Frangas [D]</v>
      </c>
      <c r="H24" s="6">
        <f t="shared" si="1"/>
        <v>2</v>
      </c>
      <c r="I24" s="5">
        <v>1.0</v>
      </c>
      <c r="J24" s="5">
        <v>1.0</v>
      </c>
      <c r="K24" s="5">
        <v>0.0</v>
      </c>
      <c r="L24" s="6">
        <f t="shared" si="2"/>
        <v>0.5</v>
      </c>
      <c r="M24" s="5">
        <v>2.0</v>
      </c>
      <c r="N24" s="5">
        <v>0.0</v>
      </c>
      <c r="O24" s="5">
        <v>0.0</v>
      </c>
      <c r="P24" s="5">
        <v>0.0</v>
      </c>
      <c r="Q24" s="5">
        <v>0.0</v>
      </c>
      <c r="R24" s="5">
        <v>0.0</v>
      </c>
      <c r="S24" s="5">
        <v>0.0</v>
      </c>
      <c r="T24" s="6">
        <f t="shared" si="3"/>
        <v>0</v>
      </c>
      <c r="U24" s="5">
        <f t="shared" si="4"/>
        <v>2</v>
      </c>
      <c r="V24" s="5">
        <f t="shared" si="5"/>
        <v>0</v>
      </c>
      <c r="W24" s="5">
        <f t="shared" si="6"/>
        <v>0</v>
      </c>
      <c r="X24" s="6">
        <f t="shared" si="7"/>
        <v>1</v>
      </c>
    </row>
    <row r="25">
      <c r="A25" s="3" t="s">
        <v>48</v>
      </c>
      <c r="B25" s="3">
        <v>2024.0</v>
      </c>
      <c r="C25" s="3" t="s">
        <v>95</v>
      </c>
      <c r="D25" s="4" t="s">
        <v>103</v>
      </c>
      <c r="E25" s="3" t="s">
        <v>99</v>
      </c>
      <c r="F25" s="5" t="s">
        <v>104</v>
      </c>
      <c r="G25" s="5" t="str">
        <f>IFERROR(__xludf.DUMMYFUNCTION("""COMPUTED_VALUE"""),"Sen. Raumesh Akbari [D], Sen. London Lamar [D], Sen. Jeff Yarbro [D]")</f>
        <v>Sen. Raumesh Akbari [D], Sen. London Lamar [D], Sen. Jeff Yarbro [D]</v>
      </c>
      <c r="H25" s="6">
        <f t="shared" si="1"/>
        <v>3</v>
      </c>
      <c r="I25" s="5">
        <v>2.0</v>
      </c>
      <c r="J25" s="5">
        <v>1.0</v>
      </c>
      <c r="K25" s="5">
        <v>0.0</v>
      </c>
      <c r="L25" s="6">
        <f t="shared" si="2"/>
        <v>0.6666666667</v>
      </c>
      <c r="M25" s="5">
        <v>1.0</v>
      </c>
      <c r="N25" s="5">
        <v>2.0</v>
      </c>
      <c r="O25" s="5">
        <v>0.0</v>
      </c>
      <c r="P25" s="5">
        <v>0.0</v>
      </c>
      <c r="Q25" s="5">
        <v>0.0</v>
      </c>
      <c r="R25" s="5">
        <v>0.0</v>
      </c>
      <c r="S25" s="5">
        <v>0.0</v>
      </c>
      <c r="T25" s="6">
        <f t="shared" si="3"/>
        <v>0.6666666667</v>
      </c>
      <c r="U25" s="7">
        <f t="shared" si="4"/>
        <v>3</v>
      </c>
      <c r="V25" s="7">
        <f t="shared" si="5"/>
        <v>0</v>
      </c>
      <c r="W25" s="7">
        <f t="shared" si="6"/>
        <v>0</v>
      </c>
      <c r="X25" s="6">
        <f t="shared" si="7"/>
        <v>1</v>
      </c>
    </row>
    <row r="26">
      <c r="A26" s="3" t="s">
        <v>43</v>
      </c>
      <c r="B26" s="3">
        <v>2023.0</v>
      </c>
      <c r="C26" s="3" t="s">
        <v>30</v>
      </c>
      <c r="D26" s="4" t="s">
        <v>105</v>
      </c>
      <c r="E26" s="3" t="s">
        <v>106</v>
      </c>
      <c r="F26" s="5" t="s">
        <v>107</v>
      </c>
      <c r="G26" s="6" t="str">
        <f>IFERROR(__xludf.DUMMYFUNCTION("""COMPUTED_VALUE"""),"Rep. Fred Allen [D], Sen. David Wallace [R], Rep. Ken Ferguson [D], Rep. Milton Nicks [D], Rep. Jay Richardson [D], Rep. Carol Dalby [R], Rep. Lee Johnson [R], Rep. Jim Wooten [R], Rep. Karilyn Brown [R]")</f>
        <v>Rep. Fred Allen [D], Sen. David Wallace [R], Rep. Ken Ferguson [D], Rep. Milton Nicks [D], Rep. Jay Richardson [D], Rep. Carol Dalby [R], Rep. Lee Johnson [R], Rep. Jim Wooten [R], Rep. Karilyn Brown [R]</v>
      </c>
      <c r="H26" s="6">
        <f t="shared" si="1"/>
        <v>9</v>
      </c>
      <c r="I26" s="5">
        <v>2.0</v>
      </c>
      <c r="J26" s="5">
        <v>7.0</v>
      </c>
      <c r="K26" s="5">
        <v>0.0</v>
      </c>
      <c r="L26" s="6">
        <f t="shared" si="2"/>
        <v>0.2222222222</v>
      </c>
      <c r="M26" s="5">
        <v>5.0</v>
      </c>
      <c r="N26" s="5">
        <v>4.0</v>
      </c>
      <c r="O26" s="5">
        <v>0.0</v>
      </c>
      <c r="P26" s="5">
        <v>0.0</v>
      </c>
      <c r="Q26" s="5">
        <v>0.0</v>
      </c>
      <c r="R26" s="5">
        <v>0.0</v>
      </c>
      <c r="S26" s="5">
        <v>0.0</v>
      </c>
      <c r="T26" s="6">
        <f t="shared" si="3"/>
        <v>0.4444444444</v>
      </c>
      <c r="U26" s="5">
        <f t="shared" si="4"/>
        <v>4</v>
      </c>
      <c r="V26" s="5">
        <f t="shared" si="5"/>
        <v>5</v>
      </c>
      <c r="W26" s="5">
        <f t="shared" si="6"/>
        <v>0</v>
      </c>
      <c r="X26" s="6">
        <f t="shared" si="7"/>
        <v>0.4444444444</v>
      </c>
    </row>
    <row r="27">
      <c r="A27" s="3" t="s">
        <v>108</v>
      </c>
      <c r="B27" s="3">
        <v>2023.0</v>
      </c>
      <c r="C27" s="3" t="s">
        <v>30</v>
      </c>
      <c r="D27" s="4" t="s">
        <v>109</v>
      </c>
      <c r="E27" s="3" t="s">
        <v>110</v>
      </c>
      <c r="F27" s="5" t="s">
        <v>111</v>
      </c>
      <c r="G27" s="6" t="str">
        <f>IFERROR(__xludf.DUMMYFUNCTION("""COMPUTED_VALUE"""),"Del. Irene Shin [D] Del. Candi Mundon King [D] Del. Dan Helmer [D] Del. Michelle Maldonado [D], Del. Kenneth Plum [D] Del. David Reid [D] Del. Holly Seibold [D] Del. Shelly Simonds [D], Sen. Suhas Subramanyam [D]")</f>
        <v>Del. Irene Shin [D] Del. Candi Mundon King [D] Del. Dan Helmer [D] Del. Michelle Maldonado [D], Del. Kenneth Plum [D] Del. David Reid [D] Del. Holly Seibold [D] Del. Shelly Simonds [D], Sen. Suhas Subramanyam [D]</v>
      </c>
      <c r="H27" s="6">
        <f t="shared" si="1"/>
        <v>9</v>
      </c>
      <c r="I27" s="5">
        <v>5.0</v>
      </c>
      <c r="J27" s="5">
        <v>4.0</v>
      </c>
      <c r="K27" s="5">
        <v>0.0</v>
      </c>
      <c r="L27" s="6">
        <f t="shared" si="2"/>
        <v>0.5555555556</v>
      </c>
      <c r="M27" s="5">
        <v>5.0</v>
      </c>
      <c r="N27" s="5">
        <v>2.0</v>
      </c>
      <c r="O27" s="5">
        <v>0.0</v>
      </c>
      <c r="P27" s="5">
        <v>0.0</v>
      </c>
      <c r="Q27" s="5">
        <v>0.0</v>
      </c>
      <c r="R27" s="5">
        <v>2.0</v>
      </c>
      <c r="S27" s="5">
        <v>0.0</v>
      </c>
      <c r="T27" s="6">
        <f t="shared" si="3"/>
        <v>0.4444444444</v>
      </c>
      <c r="U27" s="7">
        <f t="shared" si="4"/>
        <v>9</v>
      </c>
      <c r="V27" s="7">
        <f t="shared" si="5"/>
        <v>0</v>
      </c>
      <c r="W27" s="7">
        <f t="shared" si="6"/>
        <v>0</v>
      </c>
      <c r="X27" s="6">
        <f t="shared" si="7"/>
        <v>1</v>
      </c>
    </row>
    <row r="28">
      <c r="A28" s="3" t="s">
        <v>100</v>
      </c>
      <c r="B28" s="3">
        <v>2017.0</v>
      </c>
      <c r="C28" s="3" t="s">
        <v>95</v>
      </c>
      <c r="D28" s="4" t="s">
        <v>112</v>
      </c>
      <c r="E28" s="3" t="s">
        <v>99</v>
      </c>
      <c r="F28" s="5" t="s">
        <v>113</v>
      </c>
      <c r="G28" s="5" t="str">
        <f>IFERROR(__xludf.DUMMYFUNCTION("""COMPUTED_VALUE"""),"Sen. Brittany Pettersen [D], Rep. Lois Landgraf [R], Sen. Donald Coram [R]")</f>
        <v>Sen. Brittany Pettersen [D], Rep. Lois Landgraf [R], Sen. Donald Coram [R]</v>
      </c>
      <c r="H28" s="6">
        <f t="shared" si="1"/>
        <v>3</v>
      </c>
      <c r="I28" s="5">
        <v>2.0</v>
      </c>
      <c r="J28" s="5">
        <v>1.0</v>
      </c>
      <c r="K28" s="5">
        <v>0.0</v>
      </c>
      <c r="L28" s="6">
        <f t="shared" si="2"/>
        <v>0.6666666667</v>
      </c>
      <c r="M28" s="5">
        <v>3.0</v>
      </c>
      <c r="N28" s="5">
        <v>0.0</v>
      </c>
      <c r="O28" s="5">
        <v>0.0</v>
      </c>
      <c r="P28" s="5">
        <v>0.0</v>
      </c>
      <c r="Q28" s="5">
        <v>0.0</v>
      </c>
      <c r="R28" s="5">
        <v>0.0</v>
      </c>
      <c r="S28" s="5">
        <v>0.0</v>
      </c>
      <c r="T28" s="6">
        <f t="shared" si="3"/>
        <v>0</v>
      </c>
      <c r="U28" s="5">
        <f t="shared" si="4"/>
        <v>1</v>
      </c>
      <c r="V28" s="5">
        <f t="shared" si="5"/>
        <v>2</v>
      </c>
      <c r="W28" s="5">
        <f t="shared" si="6"/>
        <v>0</v>
      </c>
      <c r="X28" s="6">
        <f t="shared" si="7"/>
        <v>0.3333333333</v>
      </c>
    </row>
    <row r="29">
      <c r="A29" s="3" t="s">
        <v>114</v>
      </c>
      <c r="B29" s="3">
        <v>2023.0</v>
      </c>
      <c r="C29" s="3" t="s">
        <v>115</v>
      </c>
      <c r="D29" s="3" t="s">
        <v>116</v>
      </c>
      <c r="E29" s="3" t="s">
        <v>117</v>
      </c>
      <c r="F29" s="5" t="s">
        <v>118</v>
      </c>
      <c r="G29" s="6" t="str">
        <f>IFERROR(__xludf.DUMMYFUNCTION("""COMPUTED_VALUE"""),"Sen. Mary Washington [D], Sen. Malcolm Augustine [D], Sen. Sarah Elfreth [D], Sen. Brian Feldman [D], Sen. Guy Guzzone [D], Sen. Shelly Hettleman [D], Sen. Nancy King [D], Sen. Benjamin Kramer [D], Sen. Clarence Lam [D], Sen. William Smith [D], Sen. Jeff "&amp;"Waldstreicher [D], Sen. Craig Zucker [D], Sen. Arthur Ellis [D], Sen. Antonio Hayes [D]")</f>
        <v>Sen. Mary Washington [D], Sen. Malcolm Augustine [D], Sen. Sarah Elfreth [D], Sen. Brian Feldman [D], Sen. Guy Guzzone [D], Sen. Shelly Hettleman [D], Sen. Nancy King [D], Sen. Benjamin Kramer [D], Sen. Clarence Lam [D], Sen. William Smith [D], Sen. Jeff Waldstreicher [D], Sen. Craig Zucker [D], Sen. Arthur Ellis [D], Sen. Antonio Hayes [D]</v>
      </c>
      <c r="H29" s="6">
        <f t="shared" si="1"/>
        <v>14</v>
      </c>
      <c r="I29" s="5">
        <v>4.0</v>
      </c>
      <c r="J29" s="5">
        <v>10.0</v>
      </c>
      <c r="K29" s="5">
        <v>0.0</v>
      </c>
      <c r="L29" s="6">
        <f t="shared" si="2"/>
        <v>0.2857142857</v>
      </c>
      <c r="M29" s="5">
        <v>9.0</v>
      </c>
      <c r="N29" s="5">
        <v>4.0</v>
      </c>
      <c r="O29" s="5">
        <v>0.0</v>
      </c>
      <c r="P29" s="5">
        <v>0.0</v>
      </c>
      <c r="Q29" s="5">
        <v>0.0</v>
      </c>
      <c r="R29" s="5">
        <v>1.0</v>
      </c>
      <c r="S29" s="5">
        <v>0.0</v>
      </c>
      <c r="T29" s="6">
        <f t="shared" si="3"/>
        <v>0.3571428571</v>
      </c>
      <c r="U29" s="5">
        <f t="shared" si="4"/>
        <v>14</v>
      </c>
      <c r="V29" s="5">
        <f t="shared" si="5"/>
        <v>0</v>
      </c>
      <c r="W29" s="5">
        <f t="shared" si="6"/>
        <v>0</v>
      </c>
      <c r="X29" s="6">
        <f t="shared" si="7"/>
        <v>1</v>
      </c>
    </row>
    <row r="30">
      <c r="A30" s="3" t="s">
        <v>114</v>
      </c>
      <c r="B30" s="3">
        <v>2023.0</v>
      </c>
      <c r="C30" s="3" t="s">
        <v>115</v>
      </c>
      <c r="D30" s="3" t="s">
        <v>119</v>
      </c>
      <c r="E30" s="3" t="s">
        <v>117</v>
      </c>
      <c r="F30" s="5" t="s">
        <v>120</v>
      </c>
      <c r="G30" s="6" t="str">
        <f>IFERROR(__xludf.DUMMYFUNCTION("""COMPUTED_VALUE"""),"Del. Anne Kaiser [D], Del. Bonnie Cullison [D], Del. Gabriel Acevero [D], Del. Nick Allen [D], Del. Marlon Amprey [D], Del. Vanessa Atterbeary [D], Del. Heather Bagnall [D], Del. Ben Barnes [D], Del. Kumar Barve [D], Del. Regina Boyce [D], Del. Jon Cardin"&amp;" [D], Del. Lorig Charkoudian [D], Del. Luke Clippinger [D], Del. Eric Ebersole [D], Del. Mark Edelson [D], Del. Elizabeth Embry [D], Del. Kris Fair [D], Del. Jessica Feldmark [D], Del. Diana Fennell [D], Del. Linda Foley [D], Del. Catherine Forbes [D], De"&amp;"l. David Fraser-hidalgo [D], Del. Brooke Grossman [D], Del. Pam Guzzone [D], Del. Terri Hill [D], Del. Dana Jones [D], Del. Aaron Kaufman [D], Sen. Ariana Kelly [D], Del. Ken Kerr [D], Del. Mary Lehman [D], Del. Robbyn Lewis [D], Del. Lesley Lopez [D], Se"&amp;"n. Sara Love [D], Del. Aletheia McCaskill [D], Del. Bernice Mireku-North [D], Del. David Moon [D], Del. Julie Palakovich Carr [D], Del. Cheryl Pasteur [D], Del. Lily Qi [D], Del. Pamela Queen [D], Del. Kirill Reznik [D], Del. Samuel Rosenberg [D], Del. Sh"&amp;"eila Ruth [D], Del. Emily Shetty [D], Del. Karen Simpson [D], Del. Stephanie Smith [D], Del. Jared Solomon [D], Del. Dana Stein [D], Del. Vaughn Stewart [D], Del. Deni Taveras [D], Del. Jen Terrasa [D], Del. Kriselda Valderrama [D], Del. Joe Vogel [D], De"&amp;"l. Courtney Watson [D], Del. Melissa Wells [D], Del. Jheanelle Wilkins [D], Del. Natalie Ziegler [D], Del. Joseline Pena-Melnyk [D], Del. Jennifer White Holland [D], Del. Ashanti Martinez [D]")</f>
        <v>Del. Anne Kaiser [D], Del. Bonnie Cullison [D], Del. Gabriel Acevero [D], Del. Nick Allen [D], Del. Marlon Amprey [D], Del. Vanessa Atterbeary [D], Del. Heather Bagnall [D], Del. Ben Barnes [D], Del. Kumar Barve [D], Del. Regina Boyce [D], Del. Jon Cardin [D], Del. Lorig Charkoudian [D], Del. Luke Clippinger [D], Del. Eric Ebersole [D], Del. Mark Edelson [D], Del. Elizabeth Embry [D], Del. Kris Fair [D], Del. Jessica Feldmark [D], Del. Diana Fennell [D], Del. Linda Foley [D], Del. Catherine Forbes [D], Del. David Fraser-hidalgo [D], Del. Brooke Grossman [D], Del. Pam Guzzone [D], Del. Terri Hill [D], Del. Dana Jones [D], Del. Aaron Kaufman [D], Sen. Ariana Kelly [D], Del. Ken Kerr [D], Del. Mary Lehman [D], Del. Robbyn Lewis [D], Del. Lesley Lopez [D], Sen. Sara Love [D], Del. Aletheia McCaskill [D], Del. Bernice Mireku-North [D], Del. David Moon [D], Del. Julie Palakovich Carr [D], Del. Cheryl Pasteur [D], Del. Lily Qi [D], Del. Pamela Queen [D], Del. Kirill Reznik [D], Del. Samuel Rosenberg [D], Del. Sheila Ruth [D], Del. Emily Shetty [D], Del. Karen Simpson [D], Del. Stephanie Smith [D], Del. Jared Solomon [D], Del. Dana Stein [D], Del. Vaughn Stewart [D], Del. Deni Taveras [D], Del. Jen Terrasa [D], Del. Kriselda Valderrama [D], Del. Joe Vogel [D], Del. Courtney Watson [D], Del. Melissa Wells [D], Del. Jheanelle Wilkins [D], Del. Natalie Ziegler [D], Del. Joseline Pena-Melnyk [D], Del. Jennifer White Holland [D], Del. Ashanti Martinez [D]</v>
      </c>
      <c r="H30" s="6">
        <f t="shared" si="1"/>
        <v>60</v>
      </c>
      <c r="I30" s="5">
        <v>39.0</v>
      </c>
      <c r="J30" s="5">
        <v>21.0</v>
      </c>
      <c r="K30" s="5">
        <v>0.0</v>
      </c>
      <c r="L30" s="6">
        <f t="shared" si="2"/>
        <v>0.65</v>
      </c>
      <c r="M30" s="5">
        <v>39.0</v>
      </c>
      <c r="N30" s="5">
        <v>16.0</v>
      </c>
      <c r="O30" s="5">
        <v>2.0</v>
      </c>
      <c r="P30" s="5">
        <v>1.0</v>
      </c>
      <c r="Q30" s="5">
        <v>0.0</v>
      </c>
      <c r="R30" s="5">
        <v>3.0</v>
      </c>
      <c r="S30" s="5">
        <v>0.0</v>
      </c>
      <c r="T30" s="6">
        <f t="shared" si="3"/>
        <v>0.3666666667</v>
      </c>
      <c r="U30" s="5">
        <f t="shared" si="4"/>
        <v>60</v>
      </c>
      <c r="V30" s="5">
        <f t="shared" si="5"/>
        <v>0</v>
      </c>
      <c r="W30" s="5">
        <f t="shared" si="6"/>
        <v>0</v>
      </c>
      <c r="X30" s="6">
        <f t="shared" si="7"/>
        <v>1</v>
      </c>
    </row>
    <row r="31">
      <c r="A31" s="3" t="s">
        <v>56</v>
      </c>
      <c r="B31" s="3">
        <v>2023.0</v>
      </c>
      <c r="C31" s="3" t="s">
        <v>52</v>
      </c>
      <c r="D31" s="3" t="s">
        <v>121</v>
      </c>
      <c r="E31" s="3" t="s">
        <v>54</v>
      </c>
      <c r="F31" s="5" t="s">
        <v>122</v>
      </c>
      <c r="G31" s="6" t="str">
        <f>IFERROR(__xludf.DUMMYFUNCTION("""COMPUTED_VALUE"""),"Sen. Nancy Skinner [D], Asm. Cecilia Aguiar-Curry [D], Sen. Josh Becker [D], Sen. Anna Caballero [D], Sen. Sabrina Cervantes [D], Asm. Damon Connolly [D], Sen. Dave Cortese [D], Sen. Bill Dodd [D], Asm. Matt Haney [D], Asm. Ash Kalra [D], Sen. Mike McGuir"&amp;"e [D], Sen. Caroline Menjivar [D], Sen. Dave Min [D], Sen. Steve Padilla [D], Asm. Gail Pellerin [D], Asm. Pilar Schiavo [D], Sen. Henry Stern [D], Sen. Aisha Wahab [D], Sen. Scott Wiener [D]")</f>
        <v>Sen. Nancy Skinner [D], Asm. Cecilia Aguiar-Curry [D], Sen. Josh Becker [D], Sen. Anna Caballero [D], Sen. Sabrina Cervantes [D], Asm. Damon Connolly [D], Sen. Dave Cortese [D], Sen. Bill Dodd [D], Asm. Matt Haney [D], Asm. Ash Kalra [D], Sen. Mike McGuire [D], Sen. Caroline Menjivar [D], Sen. Dave Min [D], Sen. Steve Padilla [D], Asm. Gail Pellerin [D], Asm. Pilar Schiavo [D], Sen. Henry Stern [D], Sen. Aisha Wahab [D], Sen. Scott Wiener [D]</v>
      </c>
      <c r="H31" s="6">
        <f t="shared" si="1"/>
        <v>19</v>
      </c>
      <c r="I31" s="5">
        <v>8.0</v>
      </c>
      <c r="J31" s="5">
        <v>8.0</v>
      </c>
      <c r="K31" s="5">
        <v>0.0</v>
      </c>
      <c r="L31" s="6">
        <f t="shared" si="2"/>
        <v>0.4210526316</v>
      </c>
      <c r="M31" s="5">
        <v>13.0</v>
      </c>
      <c r="N31" s="5">
        <v>0.0</v>
      </c>
      <c r="O31" s="5">
        <v>3.0</v>
      </c>
      <c r="P31" s="5">
        <v>2.0</v>
      </c>
      <c r="Q31" s="5">
        <v>0.0</v>
      </c>
      <c r="R31" s="5">
        <v>1.0</v>
      </c>
      <c r="S31" s="5">
        <v>0.0</v>
      </c>
      <c r="T31" s="6">
        <f t="shared" si="3"/>
        <v>0.3157894737</v>
      </c>
      <c r="U31" s="5">
        <f t="shared" si="4"/>
        <v>19</v>
      </c>
      <c r="V31" s="5">
        <f t="shared" si="5"/>
        <v>0</v>
      </c>
      <c r="W31" s="5">
        <f t="shared" si="6"/>
        <v>0</v>
      </c>
      <c r="X31" s="6">
        <f t="shared" si="7"/>
        <v>1</v>
      </c>
    </row>
    <row r="32">
      <c r="A32" s="3" t="s">
        <v>56</v>
      </c>
      <c r="B32" s="3">
        <v>2023.0</v>
      </c>
      <c r="C32" s="3" t="s">
        <v>52</v>
      </c>
      <c r="D32" s="3" t="s">
        <v>123</v>
      </c>
      <c r="E32" s="3" t="s">
        <v>54</v>
      </c>
      <c r="F32" s="5" t="s">
        <v>124</v>
      </c>
      <c r="G32" s="6" t="str">
        <f>IFERROR(__xludf.DUMMYFUNCTION("""COMPUTED_VALUE"""),"Asm. Cottie Petrie-Norris [D], Asm. Buffy Wicks [D], Asm. Cecilia Aguiar-Curry [D], Asm. Rebecca Bauer-Kahan [D], Sen. Josh Becker [D], Asm. Marc Berman [D], Asm. Lisa Calderon [D], Sen. Sabrina Cervantes [D], Asm. Laura Friedman [D], Asm. Jesse Gabriel ["&amp;"D], Asm. Mike Gipson [D], Asm. Matt Haney [D], Asm. Reginald Jones-Sawyer [D], Sen. Dave Min [D], Asm. Stephanie Nguyen [D]")</f>
        <v>Asm. Cottie Petrie-Norris [D], Asm. Buffy Wicks [D], Asm. Cecilia Aguiar-Curry [D], Asm. Rebecca Bauer-Kahan [D], Sen. Josh Becker [D], Asm. Marc Berman [D], Asm. Lisa Calderon [D], Sen. Sabrina Cervantes [D], Asm. Laura Friedman [D], Asm. Jesse Gabriel [D], Asm. Mike Gipson [D], Asm. Matt Haney [D], Asm. Reginald Jones-Sawyer [D], Sen. Dave Min [D], Asm. Stephanie Nguyen [D]</v>
      </c>
      <c r="H32" s="6">
        <f t="shared" si="1"/>
        <v>15</v>
      </c>
      <c r="I32" s="5">
        <v>9.0</v>
      </c>
      <c r="J32" s="5">
        <v>6.0</v>
      </c>
      <c r="K32" s="5">
        <v>0.0</v>
      </c>
      <c r="L32" s="6">
        <f t="shared" si="2"/>
        <v>0.6</v>
      </c>
      <c r="M32" s="5">
        <v>8.0</v>
      </c>
      <c r="N32" s="5">
        <v>2.0</v>
      </c>
      <c r="O32" s="5">
        <v>3.0</v>
      </c>
      <c r="P32" s="5">
        <v>2.0</v>
      </c>
      <c r="Q32" s="5">
        <v>0.0</v>
      </c>
      <c r="R32" s="5">
        <v>0.0</v>
      </c>
      <c r="S32" s="5">
        <v>0.0</v>
      </c>
      <c r="T32" s="6">
        <f t="shared" si="3"/>
        <v>0.4666666667</v>
      </c>
      <c r="U32" s="5">
        <f t="shared" si="4"/>
        <v>15</v>
      </c>
      <c r="V32" s="5">
        <f t="shared" si="5"/>
        <v>0</v>
      </c>
      <c r="W32" s="5">
        <f t="shared" si="6"/>
        <v>0</v>
      </c>
      <c r="X32" s="6">
        <f t="shared" si="7"/>
        <v>1</v>
      </c>
    </row>
    <row r="33">
      <c r="A33" s="3" t="s">
        <v>125</v>
      </c>
      <c r="B33" s="3">
        <v>2018.0</v>
      </c>
      <c r="C33" s="3" t="s">
        <v>90</v>
      </c>
      <c r="D33" s="7" t="s">
        <v>126</v>
      </c>
      <c r="E33" s="3" t="s">
        <v>127</v>
      </c>
      <c r="F33" s="5" t="s">
        <v>128</v>
      </c>
      <c r="G33" s="6" t="str">
        <f>IFERROR(__xludf.DUMMYFUNCTION("""COMPUTED_VALUE"""),"Rep. Christine Conley, Rep. Linda M. Gentile, Sen. Gayle S. Slossberg, Sen. Steve Cassano, Rep. Linda A. Orange, Rep. Joe de la Cruz, Rep. Robyn A. Porter, Rep. Roland J. Lemar, Rep. Patricia A. Dillon, Rep. James M. Albis, Rep. Joseph P. Gresko, Rep. Mar"&amp;"y M. Mushinsky, Rep. Andrew M. Fleischmann, Rep. Livvy R. Floren, Rep. Terrie E. Wood, Rep. Jeff Currey, Rep. Devin R. Carney, Rep. Russell A. Morin, Rep. Sean Scanlon, Rep. Gregory Haddad, Rep. Terry B. Adams, Rep. Cristin McCarthy Vahey, Rep. Liz Lineha"&amp;"n, Rep. Peter A. Tercyak, Rep. Kim Rose, Rep. Michael Winkler, Rep. Susan M. Johnson, Rep. Josh Elliott, Sen. Mae Flexer, Rep. Noreen S. Kokoruda, Rep. Gail Lavielle, Sen. Marilyn V. Moore, Rep. Diana S. Urban, Rep. Scott A. Storms, Rep. Laura M. Devlin, "&amp;"Rep. Melissa H. Ziobron, Rep. Philip L. Young, Rep. Tom Delnicki, Rep. Bob Godfrey, Rep. Gary Byron, Rep. Jonathan Steinberg, Rep. Juan R. Candelaria, Rep. Bruce V. Morris, Rep. John H. Frey, Rep. Chris Perone, Rep. Antonio Guerrera, Rep. Steven J. Stafst"&amp;"rom, Rep. Matthew Lesser, Rep. Caroline Simmons, Rep. Derek Slap, Rep. Joshua Malik Hall, Sen. George S. Logan, Sen. Terry B. Gerratana, Sen. Beth Bye, Rep. Mike Demicco, Sen. Carlo Leone, Sen. Catherine A. Osten, Sen. Martin M. Looney, Sen. Bob Duff, Sen"&amp;". Henri Martin, Sen. Heather B. Somers")</f>
        <v>Rep. Christine Conley, Rep. Linda M. Gentile, Sen. Gayle S. Slossberg, Sen. Steve Cassano, Rep. Linda A. Orange, Rep. Joe de la Cruz, Rep. Robyn A. Porter, Rep. Roland J. Lemar, Rep. Patricia A. Dillon, Rep. James M. Albis, Rep. Joseph P. Gresko, Rep. Mary M. Mushinsky, Rep. Andrew M. Fleischmann, Rep. Livvy R. Floren, Rep. Terrie E. Wood, Rep. Jeff Currey, Rep. Devin R. Carney, Rep. Russell A. Morin, Rep. Sean Scanlon, Rep. Gregory Haddad, Rep. Terry B. Adams, Rep. Cristin McCarthy Vahey, Rep. Liz Linehan, Rep. Peter A. Tercyak, Rep. Kim Rose, Rep. Michael Winkler, Rep. Susan M. Johnson, Rep. Josh Elliott, Sen. Mae Flexer, Rep. Noreen S. Kokoruda, Rep. Gail Lavielle, Sen. Marilyn V. Moore, Rep. Diana S. Urban, Rep. Scott A. Storms, Rep. Laura M. Devlin, Rep. Melissa H. Ziobron, Rep. Philip L. Young, Rep. Tom Delnicki, Rep. Bob Godfrey, Rep. Gary Byron, Rep. Jonathan Steinberg, Rep. Juan R. Candelaria, Rep. Bruce V. Morris, Rep. John H. Frey, Rep. Chris Perone, Rep. Antonio Guerrera, Rep. Steven J. Stafstrom, Rep. Matthew Lesser, Rep. Caroline Simmons, Rep. Derek Slap, Rep. Joshua Malik Hall, Sen. George S. Logan, Sen. Terry B. Gerratana, Sen. Beth Bye, Rep. Mike Demicco, Sen. Carlo Leone, Sen. Catherine A. Osten, Sen. Martin M. Looney, Sen. Bob Duff, Sen. Henri Martin, Sen. Heather B. Somers</v>
      </c>
      <c r="H33" s="5">
        <v>61.0</v>
      </c>
      <c r="I33" s="5">
        <v>25.0</v>
      </c>
      <c r="J33" s="5">
        <v>36.0</v>
      </c>
      <c r="K33" s="5">
        <v>0.0</v>
      </c>
      <c r="L33" s="6">
        <f t="shared" si="2"/>
        <v>0.4098360656</v>
      </c>
      <c r="M33" s="5">
        <v>52.0</v>
      </c>
      <c r="N33" s="5">
        <v>6.0</v>
      </c>
      <c r="O33" s="5">
        <v>3.0</v>
      </c>
      <c r="P33" s="5">
        <v>0.0</v>
      </c>
      <c r="Q33" s="5">
        <v>0.0</v>
      </c>
      <c r="R33" s="5">
        <v>0.0</v>
      </c>
      <c r="S33" s="5">
        <v>0.0</v>
      </c>
      <c r="T33" s="6">
        <f t="shared" si="3"/>
        <v>0.1475409836</v>
      </c>
      <c r="U33" s="5">
        <f t="shared" si="4"/>
        <v>0</v>
      </c>
      <c r="V33" s="5">
        <v>15.0</v>
      </c>
      <c r="W33" s="5">
        <v>0.0</v>
      </c>
      <c r="X33" s="6">
        <f t="shared" si="7"/>
        <v>0</v>
      </c>
    </row>
    <row r="34">
      <c r="A34" s="3" t="s">
        <v>125</v>
      </c>
      <c r="B34" s="3">
        <v>2018.0</v>
      </c>
      <c r="C34" s="3" t="s">
        <v>129</v>
      </c>
      <c r="D34" s="7" t="s">
        <v>126</v>
      </c>
      <c r="E34" s="3" t="s">
        <v>130</v>
      </c>
      <c r="F34" s="5" t="s">
        <v>128</v>
      </c>
      <c r="G34" s="6" t="str">
        <f>IFERROR(__xludf.DUMMYFUNCTION("""COMPUTED_VALUE"""),"Rep. Christine Conley, Rep. Linda M. Gentile, Sen. Gayle S. Slossberg, Sen. Steve Cassano, Rep. Linda A. Orange, Rep. Joe de la Cruz, Rep. Robyn A. Porter, Rep. Roland J. Lemar, Rep. Patricia A. Dillon, Rep. James M. Albis, Rep. Joseph P. Gresko, Rep. Mar"&amp;"y M. Mushinsky, Rep. Andrew M. Fleischmann, Rep. Livvy R. Floren, Rep. Terrie E. Wood, Rep. Jeff Currey, Rep. Devin R. Carney, Rep. Russell A. Morin, Rep. Sean Scanlon, Rep. Gregory Haddad, Rep. Terry B. Adams, Rep. Cristin McCarthy Vahey, Rep. Liz Lineha"&amp;"n, Rep. Peter A. Tercyak, Rep. Kim Rose, Rep. Michael Winkler, Rep. Susan M. Johnson, Rep. Josh Elliott, Sen. Mae Flexer, Rep. Noreen S. Kokoruda, Rep. Gail Lavielle, Sen. Marilyn V. Moore, Rep. Diana S. Urban, Rep. Scott A. Storms, Rep. Laura M. Devlin, "&amp;"Rep. Melissa H. Ziobron, Rep. Philip L. Young, Rep. Tom Delnicki, Rep. Bob Godfrey, Rep. Gary Byron, Rep. Jonathan Steinberg, Rep. Juan R. Candelaria, Rep. Bruce V. Morris, Rep. John H. Frey, Rep. Chris Perone, Rep. Antonio Guerrera, Rep. Steven J. Stafst"&amp;"rom, Rep. Matthew Lesser, Rep. Caroline Simmons, Rep. Derek Slap, Rep. Joshua Malik Hall, Sen. George S. Logan, Sen. Terry B. Gerratana, Sen. Beth Bye, Rep. Mike Demicco, Sen. Carlo Leone, Sen. Catherine A. Osten, Sen. Martin M. Looney, Sen. Bob Duff, Sen"&amp;". Henri Martin, Sen. Heather B. Somers")</f>
        <v>Rep. Christine Conley, Rep. Linda M. Gentile, Sen. Gayle S. Slossberg, Sen. Steve Cassano, Rep. Linda A. Orange, Rep. Joe de la Cruz, Rep. Robyn A. Porter, Rep. Roland J. Lemar, Rep. Patricia A. Dillon, Rep. James M. Albis, Rep. Joseph P. Gresko, Rep. Mary M. Mushinsky, Rep. Andrew M. Fleischmann, Rep. Livvy R. Floren, Rep. Terrie E. Wood, Rep. Jeff Currey, Rep. Devin R. Carney, Rep. Russell A. Morin, Rep. Sean Scanlon, Rep. Gregory Haddad, Rep. Terry B. Adams, Rep. Cristin McCarthy Vahey, Rep. Liz Linehan, Rep. Peter A. Tercyak, Rep. Kim Rose, Rep. Michael Winkler, Rep. Susan M. Johnson, Rep. Josh Elliott, Sen. Mae Flexer, Rep. Noreen S. Kokoruda, Rep. Gail Lavielle, Sen. Marilyn V. Moore, Rep. Diana S. Urban, Rep. Scott A. Storms, Rep. Laura M. Devlin, Rep. Melissa H. Ziobron, Rep. Philip L. Young, Rep. Tom Delnicki, Rep. Bob Godfrey, Rep. Gary Byron, Rep. Jonathan Steinberg, Rep. Juan R. Candelaria, Rep. Bruce V. Morris, Rep. John H. Frey, Rep. Chris Perone, Rep. Antonio Guerrera, Rep. Steven J. Stafstrom, Rep. Matthew Lesser, Rep. Caroline Simmons, Rep. Derek Slap, Rep. Joshua Malik Hall, Sen. George S. Logan, Sen. Terry B. Gerratana, Sen. Beth Bye, Rep. Mike Demicco, Sen. Carlo Leone, Sen. Catherine A. Osten, Sen. Martin M. Looney, Sen. Bob Duff, Sen. Henri Martin, Sen. Heather B. Somers</v>
      </c>
      <c r="H34" s="5">
        <v>61.0</v>
      </c>
      <c r="I34" s="5">
        <v>25.0</v>
      </c>
      <c r="J34" s="5">
        <v>36.0</v>
      </c>
      <c r="K34" s="5">
        <v>0.0</v>
      </c>
      <c r="L34" s="6">
        <f t="shared" si="2"/>
        <v>0.4098360656</v>
      </c>
      <c r="M34" s="5">
        <v>52.0</v>
      </c>
      <c r="N34" s="5">
        <v>6.0</v>
      </c>
      <c r="O34" s="5">
        <v>3.0</v>
      </c>
      <c r="P34" s="5">
        <v>0.0</v>
      </c>
      <c r="Q34" s="5">
        <v>0.0</v>
      </c>
      <c r="R34" s="5">
        <v>0.0</v>
      </c>
      <c r="S34" s="5">
        <v>0.0</v>
      </c>
      <c r="T34" s="6">
        <f t="shared" si="3"/>
        <v>0.1475409836</v>
      </c>
      <c r="U34" s="5">
        <f t="shared" si="4"/>
        <v>0</v>
      </c>
      <c r="V34" s="5">
        <v>15.0</v>
      </c>
      <c r="W34" s="5">
        <v>0.0</v>
      </c>
      <c r="X34" s="6">
        <f t="shared" si="7"/>
        <v>0</v>
      </c>
    </row>
    <row r="35">
      <c r="A35" s="8" t="s">
        <v>125</v>
      </c>
      <c r="B35" s="8">
        <v>2018.0</v>
      </c>
      <c r="C35" s="8" t="s">
        <v>39</v>
      </c>
      <c r="D35" s="10" t="s">
        <v>126</v>
      </c>
      <c r="E35" s="8" t="s">
        <v>41</v>
      </c>
      <c r="F35" s="5" t="s">
        <v>128</v>
      </c>
      <c r="G35" s="6" t="str">
        <f>IFERROR(__xludf.DUMMYFUNCTION("""COMPUTED_VALUE"""),"Rep. Christine Conley, Rep. Linda M. Gentile, Sen. Gayle S. Slossberg, Sen. Steve Cassano, Rep. Linda A. Orange, Rep. Joe de la Cruz, Rep. Robyn A. Porter, Rep. Roland J. Lemar, Rep. Patricia A. Dillon, Rep. James M. Albis, Rep. Joseph P. Gresko, Rep. Mar"&amp;"y M. Mushinsky, Rep. Andrew M. Fleischmann, Rep. Livvy R. Floren, Rep. Terrie E. Wood, Rep. Jeff Currey, Rep. Devin R. Carney, Rep. Russell A. Morin, Rep. Sean Scanlon, Rep. Gregory Haddad, Rep. Terry B. Adams, Rep. Cristin McCarthy Vahey, Rep. Liz Lineha"&amp;"n, Rep. Peter A. Tercyak, Rep. Kim Rose, Rep. Michael Winkler, Rep. Susan M. Johnson, Rep. Josh Elliott, Sen. Mae Flexer, Rep. Noreen S. Kokoruda, Rep. Gail Lavielle, Sen. Marilyn V. Moore, Rep. Diana S. Urban, Rep. Scott A. Storms, Rep. Laura M. Devlin, "&amp;"Rep. Melissa H. Ziobron, Rep. Philip L. Young, Rep. Tom Delnicki, Rep. Bob Godfrey, Rep. Gary Byron, Rep. Jonathan Steinberg, Rep. Juan R. Candelaria, Rep. Bruce V. Morris, Rep. John H. Frey, Rep. Chris Perone, Rep. Antonio Guerrera, Rep. Steven J. Stafst"&amp;"rom, Rep. Matthew Lesser, Rep. Caroline Simmons, Rep. Derek Slap, Rep. Joshua Malik Hall, Sen. George S. Logan, Sen. Terry B. Gerratana, Sen. Beth Bye, Rep. Mike Demicco, Sen. Carlo Leone, Sen. Catherine A. Osten, Sen. Martin M. Looney, Sen. Bob Duff, Sen"&amp;". Henri Martin, Sen. Heather B. Somers")</f>
        <v>Rep. Christine Conley, Rep. Linda M. Gentile, Sen. Gayle S. Slossberg, Sen. Steve Cassano, Rep. Linda A. Orange, Rep. Joe de la Cruz, Rep. Robyn A. Porter, Rep. Roland J. Lemar, Rep. Patricia A. Dillon, Rep. James M. Albis, Rep. Joseph P. Gresko, Rep. Mary M. Mushinsky, Rep. Andrew M. Fleischmann, Rep. Livvy R. Floren, Rep. Terrie E. Wood, Rep. Jeff Currey, Rep. Devin R. Carney, Rep. Russell A. Morin, Rep. Sean Scanlon, Rep. Gregory Haddad, Rep. Terry B. Adams, Rep. Cristin McCarthy Vahey, Rep. Liz Linehan, Rep. Peter A. Tercyak, Rep. Kim Rose, Rep. Michael Winkler, Rep. Susan M. Johnson, Rep. Josh Elliott, Sen. Mae Flexer, Rep. Noreen S. Kokoruda, Rep. Gail Lavielle, Sen. Marilyn V. Moore, Rep. Diana S. Urban, Rep. Scott A. Storms, Rep. Laura M. Devlin, Rep. Melissa H. Ziobron, Rep. Philip L. Young, Rep. Tom Delnicki, Rep. Bob Godfrey, Rep. Gary Byron, Rep. Jonathan Steinberg, Rep. Juan R. Candelaria, Rep. Bruce V. Morris, Rep. John H. Frey, Rep. Chris Perone, Rep. Antonio Guerrera, Rep. Steven J. Stafstrom, Rep. Matthew Lesser, Rep. Caroline Simmons, Rep. Derek Slap, Rep. Joshua Malik Hall, Sen. George S. Logan, Sen. Terry B. Gerratana, Sen. Beth Bye, Rep. Mike Demicco, Sen. Carlo Leone, Sen. Catherine A. Osten, Sen. Martin M. Looney, Sen. Bob Duff, Sen. Henri Martin, Sen. Heather B. Somers</v>
      </c>
      <c r="H35" s="5">
        <v>61.0</v>
      </c>
      <c r="I35" s="5">
        <v>25.0</v>
      </c>
      <c r="J35" s="5">
        <v>36.0</v>
      </c>
      <c r="K35" s="5">
        <v>0.0</v>
      </c>
      <c r="L35" s="6">
        <f t="shared" si="2"/>
        <v>0.4098360656</v>
      </c>
      <c r="M35" s="5">
        <v>52.0</v>
      </c>
      <c r="N35" s="5">
        <v>6.0</v>
      </c>
      <c r="O35" s="5">
        <v>3.0</v>
      </c>
      <c r="P35" s="5">
        <v>0.0</v>
      </c>
      <c r="Q35" s="5">
        <v>0.0</v>
      </c>
      <c r="R35" s="5">
        <v>0.0</v>
      </c>
      <c r="S35" s="5">
        <v>0.0</v>
      </c>
      <c r="T35" s="6">
        <f t="shared" si="3"/>
        <v>0.1475409836</v>
      </c>
      <c r="U35" s="5">
        <f t="shared" si="4"/>
        <v>0</v>
      </c>
      <c r="V35" s="5">
        <v>15.0</v>
      </c>
      <c r="W35" s="5">
        <v>0.0</v>
      </c>
      <c r="X35" s="6">
        <f t="shared" si="7"/>
        <v>0</v>
      </c>
    </row>
    <row r="36">
      <c r="A36" s="3" t="s">
        <v>131</v>
      </c>
      <c r="B36" s="3">
        <v>2023.0</v>
      </c>
      <c r="C36" s="3" t="s">
        <v>52</v>
      </c>
      <c r="D36" s="7" t="s">
        <v>132</v>
      </c>
      <c r="E36" s="3" t="s">
        <v>54</v>
      </c>
      <c r="F36" s="5" t="s">
        <v>133</v>
      </c>
      <c r="G36" s="6" t="str">
        <f>IFERROR(__xludf.DUMMYFUNCTION("""COMPUTED_VALUE"""),"Sen. Melanie Scheible [D] Sen. Dallas Harris [D] Sen. Patricia Spearman [D] Rep. Cecelia Gonzalez [D]")</f>
        <v>Sen. Melanie Scheible [D] Sen. Dallas Harris [D] Sen. Patricia Spearman [D] Rep. Cecelia Gonzalez [D]</v>
      </c>
      <c r="H36" s="6">
        <f t="shared" ref="H36:H42" si="8">U36+V36+W36</f>
        <v>4</v>
      </c>
      <c r="I36" s="5">
        <v>4.0</v>
      </c>
      <c r="J36" s="5">
        <v>0.0</v>
      </c>
      <c r="K36" s="5">
        <v>0.0</v>
      </c>
      <c r="L36" s="6">
        <f t="shared" si="2"/>
        <v>1</v>
      </c>
      <c r="M36" s="5">
        <v>1.0</v>
      </c>
      <c r="N36" s="5">
        <v>2.0</v>
      </c>
      <c r="O36" s="5">
        <v>1.0</v>
      </c>
      <c r="P36" s="5">
        <v>0.0</v>
      </c>
      <c r="Q36" s="5">
        <v>0.0</v>
      </c>
      <c r="R36" s="5">
        <v>0.0</v>
      </c>
      <c r="S36" s="5">
        <v>0.0</v>
      </c>
      <c r="T36" s="6">
        <f t="shared" si="3"/>
        <v>0.75</v>
      </c>
      <c r="U36" s="5">
        <f t="shared" si="4"/>
        <v>4</v>
      </c>
      <c r="V36" s="5">
        <f t="shared" ref="V36:V42" si="9">IF(G36 = "", "", (LEN(G36) - LEN(SUBSTITUTE(G36, "[R]", ""))) / 3)</f>
        <v>0</v>
      </c>
      <c r="W36" s="5">
        <f t="shared" ref="W36:W42" si="10">IF(G36 = "", "", (LEN(G36) - LEN(SUBSTITUTE(G36, "[I]", ""))) / 3)</f>
        <v>0</v>
      </c>
      <c r="X36" s="6">
        <f t="shared" si="7"/>
        <v>1</v>
      </c>
    </row>
    <row r="37">
      <c r="A37" s="3" t="s">
        <v>62</v>
      </c>
      <c r="B37" s="3">
        <v>2023.0</v>
      </c>
      <c r="C37" s="3" t="s">
        <v>52</v>
      </c>
      <c r="D37" s="7" t="s">
        <v>134</v>
      </c>
      <c r="E37" s="3" t="s">
        <v>54</v>
      </c>
      <c r="F37" s="5" t="s">
        <v>64</v>
      </c>
      <c r="G37" s="6" t="str">
        <f>IFERROR(__xludf.DUMMYFUNCTION("""COMPUTED_VALUE"""),"Sen. Brad Hoylman-Sigal [D], Sen. Samra Brouk [D], Sen. Leroy Comrie [D], Sen. Jeremy Cooney [D], Sen. Nathalia Fernandez [D], Sen. Michael Gianaris [D], Sen. Andrew Gounardes [D], Sen. Michelle Hinchey [D], Sen. Robert Jackson [D], Sen. Timothy Kennedy ["&amp;"D], Sen. Liz Krueger [D], Sen. John Liu [D], Sen. Rachel May [D], Sen. Shelley Mayer [D], Sen. Kevin Parker [D], Sen. Jessica Ramos [D], Sen. Gustavo Rivera [D], Sen. Luis Sepulveda [D], Sen. Lea Webb [D]")</f>
        <v>Sen. Brad Hoylman-Sigal [D], Sen. Samra Brouk [D], Sen. Leroy Comrie [D], Sen. Jeremy Cooney [D], Sen. Nathalia Fernandez [D], Sen. Michael Gianaris [D], Sen. Andrew Gounardes [D], Sen. Michelle Hinchey [D], Sen. Robert Jackson [D], Sen. Timothy Kennedy [D], Sen. Liz Krueger [D], Sen. John Liu [D], Sen. Rachel May [D], Sen. Shelley Mayer [D], Sen. Kevin Parker [D], Sen. Jessica Ramos [D], Sen. Gustavo Rivera [D], Sen. Luis Sepulveda [D], Sen. Lea Webb [D]</v>
      </c>
      <c r="H37" s="6">
        <f t="shared" si="8"/>
        <v>19</v>
      </c>
      <c r="I37" s="5">
        <v>8.0</v>
      </c>
      <c r="J37" s="5">
        <v>11.0</v>
      </c>
      <c r="K37" s="5">
        <v>0.0</v>
      </c>
      <c r="L37" s="6">
        <f t="shared" si="2"/>
        <v>0.4210526316</v>
      </c>
      <c r="M37" s="5">
        <v>9.0</v>
      </c>
      <c r="N37" s="5">
        <v>5.0</v>
      </c>
      <c r="O37" s="5">
        <v>3.0</v>
      </c>
      <c r="P37" s="5">
        <v>2.0</v>
      </c>
      <c r="Q37" s="5">
        <v>0.0</v>
      </c>
      <c r="R37" s="5">
        <v>0.0</v>
      </c>
      <c r="S37" s="5">
        <v>0.0</v>
      </c>
      <c r="T37" s="6">
        <f t="shared" si="3"/>
        <v>0.5263157895</v>
      </c>
      <c r="U37" s="5">
        <f t="shared" si="4"/>
        <v>19</v>
      </c>
      <c r="V37" s="5">
        <f t="shared" si="9"/>
        <v>0</v>
      </c>
      <c r="W37" s="5">
        <f t="shared" si="10"/>
        <v>0</v>
      </c>
      <c r="X37" s="6">
        <f t="shared" si="7"/>
        <v>1</v>
      </c>
    </row>
    <row r="38">
      <c r="A38" s="3" t="s">
        <v>135</v>
      </c>
      <c r="B38" s="3">
        <v>2023.0</v>
      </c>
      <c r="C38" s="3" t="s">
        <v>52</v>
      </c>
      <c r="D38" s="7" t="s">
        <v>136</v>
      </c>
      <c r="E38" s="3" t="s">
        <v>54</v>
      </c>
      <c r="F38" s="5" t="s">
        <v>137</v>
      </c>
      <c r="G38" s="6" t="str">
        <f>IFERROR(__xludf.DUMMYFUNCTION("""COMPUTED_VALUE"""),"Rep. Andrea Valderrama [D], Rep. Travis Nelson [D], Sen. Katherine Lieber [D], Sen. Elizabeth Steiner Hayward [D], Rep. Tom Andersen [D], Rep. Ben Bowman [D], Rep. Janelle Bynum [D], Rep. Maxine Dexter [D], Rep. Julianne Fahey [D], Rep. Mark Gamba [D], Re"&amp;"p. David Gomberg [D], Rep. Dacia Grayber [D], Rep. Annessa Hartman [D], Rep. Ken Helm [D], Rep. Paul Holvey [D], Rep. Zach Hudson [D], Rep. Jason Kropf [D], Rep. Pam Marsh [D], Rep. Susan McLain [D], Rep. Daniel Nguyen [D], Rep. Hoa Nguyen [D], Rep. Rober"&amp;"t Nosse [D], Rep. Hai Pham [D], Sen. Khanh Pham [D], Sen. Lisa Reynolds [D], Rep. Ricki Ruiz [D], Rep. Nathan Sosa [D], Rep. Thuy Tran [D], Rep. Jules Walters [D], Sen. Wlnsvey Campos [D], Sen. Michael Dembrow [D], Sen. Lew Frederick [D], Sen. Sara Gelser"&amp;" Blouin [D], Sen. Jeffrey Golden [D], Sen. Chris Gorsek [D], Sen. Kayse Jama [D], Sen. James Manning [D], Sen. Mark Meek [D], Sen. Deb Patterson [D], Sen. Floyd Prozanski [D], Sen. Janeen Sollman [D], Sen. Kathleen Taylor [D], Sen. Rob Wagner [D], Sen. Aa"&amp;"ron Woods [D]")</f>
        <v>Rep. Andrea Valderrama [D], Rep. Travis Nelson [D], Sen. Katherine Lieber [D], Sen. Elizabeth Steiner Hayward [D], Rep. Tom Andersen [D], Rep. Ben Bowman [D], Rep. Janelle Bynum [D], Rep. Maxine Dexter [D], Rep. Julianne Fahey [D], Rep. Mark Gamba [D], Rep. David Gomberg [D], Rep. Dacia Grayber [D], Rep. Annessa Hartman [D], Rep. Ken Helm [D], Rep. Paul Holvey [D], Rep. Zach Hudson [D], Rep. Jason Kropf [D], Rep. Pam Marsh [D], Rep. Susan McLain [D], Rep. Daniel Nguyen [D], Rep. Hoa Nguyen [D], Rep. Robert Nosse [D], Rep. Hai Pham [D], Sen. Khanh Pham [D], Sen. Lisa Reynolds [D], Rep. Ricki Ruiz [D], Rep. Nathan Sosa [D], Rep. Thuy Tran [D], Rep. Jules Walters [D], Sen. Wlnsvey Campos [D], Sen. Michael Dembrow [D], Sen. Lew Frederick [D], Sen. Sara Gelser Blouin [D], Sen. Jeffrey Golden [D], Sen. Chris Gorsek [D], Sen. Kayse Jama [D], Sen. James Manning [D], Sen. Mark Meek [D], Sen. Deb Patterson [D], Sen. Floyd Prozanski [D], Sen. Janeen Sollman [D], Sen. Kathleen Taylor [D], Sen. Rob Wagner [D], Sen. Aaron Woods [D]</v>
      </c>
      <c r="H38" s="6">
        <f t="shared" si="8"/>
        <v>44</v>
      </c>
      <c r="I38" s="5">
        <v>22.0</v>
      </c>
      <c r="J38" s="5">
        <v>22.0</v>
      </c>
      <c r="K38" s="5">
        <v>0.0</v>
      </c>
      <c r="L38" s="6">
        <f t="shared" si="2"/>
        <v>0.5</v>
      </c>
      <c r="M38" s="5">
        <v>28.0</v>
      </c>
      <c r="N38" s="5">
        <v>7.0</v>
      </c>
      <c r="O38" s="5">
        <v>3.0</v>
      </c>
      <c r="P38" s="5">
        <v>5.0</v>
      </c>
      <c r="Q38" s="5">
        <v>1.0</v>
      </c>
      <c r="R38" s="5">
        <v>0.0</v>
      </c>
      <c r="S38" s="5">
        <v>0.0</v>
      </c>
      <c r="T38" s="6">
        <f t="shared" si="3"/>
        <v>0.3636363636</v>
      </c>
      <c r="U38" s="7">
        <f t="shared" si="4"/>
        <v>44</v>
      </c>
      <c r="V38" s="7">
        <f t="shared" si="9"/>
        <v>0</v>
      </c>
      <c r="W38" s="7">
        <f t="shared" si="10"/>
        <v>0</v>
      </c>
      <c r="X38" s="6">
        <f t="shared" si="7"/>
        <v>1</v>
      </c>
    </row>
    <row r="39">
      <c r="A39" s="3" t="s">
        <v>138</v>
      </c>
      <c r="B39" s="3">
        <v>2023.0</v>
      </c>
      <c r="C39" s="3" t="s">
        <v>52</v>
      </c>
      <c r="D39" s="3" t="s">
        <v>139</v>
      </c>
      <c r="E39" s="3" t="s">
        <v>54</v>
      </c>
      <c r="F39" s="5" t="s">
        <v>140</v>
      </c>
      <c r="G39" s="6" t="str">
        <f>IFERROR(__xludf.DUMMYFUNCTION("""COMPUTED_VALUE"""),"Sen. Virginia Lyons [D], Sen. Ruth Hardy [D], Sen. Alison Clarkson [D], Sen. Kesha Ram Hinsdale [D], Sen. Philip Baruth [D], Sen. Christopher Bray [D], Sen. Brian Campion [D], Sen. Thomas Chittenden [D], Sen. Ann Cummings [D], Sen. Martine Gulick [D], Sen"&amp;". Wendy Harrison [D], Sen. Nader Hashim [D], Sen. Jane Kitchel [D], Sen. Richard McCormack [D], Sen. Andrew Perchlik [D], Sen. Richard Sears [D], Sen. Tanya Vyhovsky [D], Sen. Anne Watson [D], Sen. Rebecca White [D], Sen. Irene Wrenner [D]")</f>
        <v>Sen. Virginia Lyons [D], Sen. Ruth Hardy [D], Sen. Alison Clarkson [D], Sen. Kesha Ram Hinsdale [D], Sen. Philip Baruth [D], Sen. Christopher Bray [D], Sen. Brian Campion [D], Sen. Thomas Chittenden [D], Sen. Ann Cummings [D], Sen. Martine Gulick [D], Sen. Wendy Harrison [D], Sen. Nader Hashim [D], Sen. Jane Kitchel [D], Sen. Richard McCormack [D], Sen. Andrew Perchlik [D], Sen. Richard Sears [D], Sen. Tanya Vyhovsky [D], Sen. Anne Watson [D], Sen. Rebecca White [D], Sen. Irene Wrenner [D]</v>
      </c>
      <c r="H39" s="6">
        <f t="shared" si="8"/>
        <v>20</v>
      </c>
      <c r="I39" s="5">
        <v>12.0</v>
      </c>
      <c r="J39" s="5">
        <v>18.0</v>
      </c>
      <c r="K39" s="5">
        <v>0.0</v>
      </c>
      <c r="L39" s="6">
        <f t="shared" si="2"/>
        <v>0.6</v>
      </c>
      <c r="M39" s="5">
        <v>18.0</v>
      </c>
      <c r="N39" s="5">
        <v>0.0</v>
      </c>
      <c r="O39" s="5">
        <v>0.0</v>
      </c>
      <c r="P39" s="5">
        <v>2.0</v>
      </c>
      <c r="Q39" s="5">
        <v>0.0</v>
      </c>
      <c r="R39" s="5">
        <v>0.0</v>
      </c>
      <c r="S39" s="5">
        <v>0.0</v>
      </c>
      <c r="T39" s="6">
        <f t="shared" si="3"/>
        <v>0.1</v>
      </c>
      <c r="U39" s="7">
        <f t="shared" si="4"/>
        <v>20</v>
      </c>
      <c r="V39" s="7">
        <f t="shared" si="9"/>
        <v>0</v>
      </c>
      <c r="W39" s="7">
        <f t="shared" si="10"/>
        <v>0</v>
      </c>
      <c r="X39" s="6">
        <f t="shared" si="7"/>
        <v>1</v>
      </c>
    </row>
    <row r="40">
      <c r="A40" s="3" t="s">
        <v>138</v>
      </c>
      <c r="B40" s="3">
        <v>2023.0</v>
      </c>
      <c r="C40" s="3" t="s">
        <v>52</v>
      </c>
      <c r="D40" s="3" t="s">
        <v>141</v>
      </c>
      <c r="E40" s="3" t="s">
        <v>54</v>
      </c>
      <c r="F40" s="5" t="s">
        <v>142</v>
      </c>
      <c r="G40" s="6" t="str">
        <f>IFERROR(__xludf.DUMMYFUNCTION("""COMPUTED_VALUE"""),"Rep. Katherine Donnally [D] Rep. Martin LaLonde [D] Rep. Taylor Small [D] Rep. Julia Andrews [D], Rep. Joseph Andriano [D] Rep. Peter Anthony [D] Rep. John Arrison [D] Rep. Angela Arsenault [D], Rep. Sarita Austin [D] Rep. John Bartholomew [D] Rep. Daisy "&amp;"Berbeco [D] Rep. Matt Birong [D], Rep. Alyssa Black [D] Rep. Tiffany Bluemle [D] Sen. Seth Bongartz [D] Rep. Michelle Bos-Lun [D], Rep. Erin Brady [D] Rep. Jana Brown [D] Rep. Jessica Brumsted [D] Rep. Mollie Burke [D], Rep. Elizabeth Burrows [D] Rep. Tes"&amp;"ha Buss [D] Rep. Scott Campbell [D] Rep. Conor Casey [D], Rep. Ela Chapin [D] Rep. Heather Chase [D] Rep. Seth Chase [D] Rep. Robin Chesnut-Tangerman [D], Rep. Kevin Christie [D] Rep. Brian Cina [D] Rep. Sara Coffey [D] Rep. Esme Cole [D], Rep. Peter Conl"&amp;"on [D] Rep. Timothy Corcoran [D] Rep. Mari Cordes [D] Rep. Carl Demrow [D], Rep. Leonora Dodge [D] Rep. Karen Dolan [D] Rep. Kari Dolan [D] Rep. David Durfee [D], Rep. Caleb Elder [D] Rep. Alice Emmons [D] Rep. Bobby Farlice-Rubio [D] Rep. Rey Garofano [D"&amp;"], Rep. Leslie Goldman [D] Rep. Edye Graning [D] Rep. Troy Headrick [I] Rep. Rebecca Holcombe [D], Rep. Robert Hooper [D] Rep. Lori Houghton [D] Rep. Mary Howard [D] Rep. Noah Hyman [D], Rep. Kathleen James [D] Rep. Stephanie Jerome [D] Rep. Emilie Kornhe"&amp;"iser [D] Rep. Emilie Krasnow [D], Rep. Kate Lalley [D] Rep. Saudia Lamont [D] Rep. Diane Lanpher [D] Rep. Josie Leavitt [D], Rep. Kate Logan [D] Rep. Emily Long [D] Rep. James Masland [D] Rep. Kate McCann [D], Rep. Mike McCarthy [D] Rep. Jubilee McGill [D"&amp;"] Rep. Marc Mihaly [D] Rep. Brian Minier [D], Rep. Michael Mrowicki [D] Rep. Emma Mulvaney-Stanak [D] Rep. Logan Nicoll [D] Rep. William Notte [D], Rep. Daniel Noyes [D] Rep. Kate Nugent [D] Rep. Carol Ode [D] Rep. Kelly Pajala [I], Rep. Avram Patt [D] Re"&amp;"p. Phil Pouech [D] Rep. Monique Priestley [D] Rep. Barbara Rachelson [D], Rep. Mike Rice [D] Rep. Tristan Roberts [D] Rep. Lawrence Satcowitz [D] Rep. Robin Scheu [D], Rep. Amy Sheldon [D] Rep. Laura Sibilia [I] Rep. Katherine Sims [D] Rep. Trevor Squirre"&amp;"ll [D], Rep. Gabrielle Stebbins [D] Rep. Thomas Stevens [D] Rep. Mary-Katherine Stone [D] Rep. Heather Surprenant [D], Rep. Curt Taylor [D] Rep. David Templeman [D] Rep. Tristan Toleno [D] Rep. Dara Torre [D], Rep. Joseph Troiano [D] Rep. Chea Evans [D] R"&amp;"ep. Kirk White [D] Rep. Jonathan Williams [D], Rep. Theresa Wood [D]")</f>
        <v>Rep. Katherine Donnally [D] Rep. Martin LaLonde [D] Rep. Taylor Small [D] Rep. Julia Andrews [D], Rep. Joseph Andriano [D] Rep. Peter Anthony [D] Rep. John Arrison [D] Rep. Angela Arsenault [D], Rep. Sarita Austin [D] Rep. John Bartholomew [D] Rep. Daisy Berbeco [D] Rep. Matt Birong [D], Rep. Alyssa Black [D] Rep. Tiffany Bluemle [D] Sen. Seth Bongartz [D] Rep. Michelle Bos-Lun [D], Rep. Erin Brady [D] Rep. Jana Brown [D] Rep. Jessica Brumsted [D] Rep. Mollie Burke [D], Rep. Elizabeth Burrows [D] Rep. Tesha Buss [D] Rep. Scott Campbell [D] Rep. Conor Casey [D], Rep. Ela Chapin [D] Rep. Heather Chase [D] Rep. Seth Chase [D] Rep. Robin Chesnut-Tangerman [D], Rep. Kevin Christie [D] Rep. Brian Cina [D] Rep. Sara Coffey [D] Rep. Esme Cole [D], Rep. Peter Conlon [D] Rep. Timothy Corcoran [D] Rep. Mari Cordes [D] Rep. Carl Demrow [D], Rep. Leonora Dodge [D] Rep. Karen Dolan [D] Rep. Kari Dolan [D] Rep. David Durfee [D], Rep. Caleb Elder [D] Rep. Alice Emmons [D] Rep. Bobby Farlice-Rubio [D] Rep. Rey Garofano [D], Rep. Leslie Goldman [D] Rep. Edye Graning [D] Rep. Troy Headrick [I] Rep. Rebecca Holcombe [D], Rep. Robert Hooper [D] Rep. Lori Houghton [D] Rep. Mary Howard [D] Rep. Noah Hyman [D], Rep. Kathleen James [D] Rep. Stephanie Jerome [D] Rep. Emilie Kornheiser [D] Rep. Emilie Krasnow [D], Rep. Kate Lalley [D] Rep. Saudia Lamont [D] Rep. Diane Lanpher [D] Rep. Josie Leavitt [D], Rep. Kate Logan [D] Rep. Emily Long [D] Rep. James Masland [D] Rep. Kate McCann [D], Rep. Mike McCarthy [D] Rep. Jubilee McGill [D] Rep. Marc Mihaly [D] Rep. Brian Minier [D], Rep. Michael Mrowicki [D] Rep. Emma Mulvaney-Stanak [D] Rep. Logan Nicoll [D] Rep. William Notte [D], Rep. Daniel Noyes [D] Rep. Kate Nugent [D] Rep. Carol Ode [D] Rep. Kelly Pajala [I], Rep. Avram Patt [D] Rep. Phil Pouech [D] Rep. Monique Priestley [D] Rep. Barbara Rachelson [D], Rep. Mike Rice [D] Rep. Tristan Roberts [D] Rep. Lawrence Satcowitz [D] Rep. Robin Scheu [D], Rep. Amy Sheldon [D] Rep. Laura Sibilia [I] Rep. Katherine Sims [D] Rep. Trevor Squirrell [D], Rep. Gabrielle Stebbins [D] Rep. Thomas Stevens [D] Rep. Mary-Katherine Stone [D] Rep. Heather Surprenant [D], Rep. Curt Taylor [D] Rep. David Templeman [D] Rep. Tristan Toleno [D] Rep. Dara Torre [D], Rep. Joseph Troiano [D] Rep. Chea Evans [D] Rep. Kirk White [D] Rep. Jonathan Williams [D], Rep. Theresa Wood [D]</v>
      </c>
      <c r="H40" s="6">
        <f t="shared" si="8"/>
        <v>101</v>
      </c>
      <c r="I40" s="5">
        <v>58.0</v>
      </c>
      <c r="J40" s="5">
        <v>42.0</v>
      </c>
      <c r="K40" s="5">
        <v>1.0</v>
      </c>
      <c r="L40" s="6">
        <f t="shared" si="2"/>
        <v>0.5742574257</v>
      </c>
      <c r="M40" s="5">
        <v>98.0</v>
      </c>
      <c r="N40" s="5">
        <v>2.0</v>
      </c>
      <c r="O40" s="5">
        <v>1.0</v>
      </c>
      <c r="P40" s="5">
        <v>0.0</v>
      </c>
      <c r="Q40" s="5">
        <v>0.0</v>
      </c>
      <c r="R40" s="5">
        <v>0.0</v>
      </c>
      <c r="S40" s="5">
        <v>0.0</v>
      </c>
      <c r="T40" s="6">
        <f t="shared" si="3"/>
        <v>0.0297029703</v>
      </c>
      <c r="U40" s="7">
        <f t="shared" si="4"/>
        <v>98</v>
      </c>
      <c r="V40" s="7">
        <f t="shared" si="9"/>
        <v>0</v>
      </c>
      <c r="W40" s="7">
        <f t="shared" si="10"/>
        <v>3</v>
      </c>
      <c r="X40" s="6">
        <f t="shared" si="7"/>
        <v>0.9702970297</v>
      </c>
    </row>
    <row r="41">
      <c r="A41" s="3" t="s">
        <v>143</v>
      </c>
      <c r="B41" s="3">
        <v>2023.0</v>
      </c>
      <c r="C41" s="3" t="s">
        <v>52</v>
      </c>
      <c r="D41" s="7" t="s">
        <v>144</v>
      </c>
      <c r="E41" s="3" t="s">
        <v>54</v>
      </c>
      <c r="F41" s="5" t="s">
        <v>145</v>
      </c>
      <c r="G41" s="6" t="str">
        <f>IFERROR(__xludf.DUMMYFUNCTION("""COMPUTED_VALUE"""),"Sen. Drew Hansen [D] Rep. My-Linh Thai [D] Rep. Frank Chopp [D] Rep. Joe Fitzgibbon [D], Rep. Tarra Simmons [D] Rep. Liz Berry [D] Sen. Vandana Slatter [D] Rep. Sharon Santos [D], Rep. Cindy Ryu [D] Rep. Chipalo Street [D] Rep. Mia Gregerson [D] Rep. Roge"&amp;"r Goodman [D], Rep. Strom Peterson [D] Rep. Steve Tharinger [D] Rep. Alex Ramel [D] Rep. Nicole Macri [D], Rep. Timm Ormsby [D] Rep. Kristine Reeves [D] Rep. Tana Senn [D] Rep. Beth Doglio [D], Sen. Marcus Riccelli [D] Sen. Emily Alvarado [D] Sen. Jessica"&amp;" Bateman [D] Rep. Melanie Morgan [D], Rep. Lisa Callan [D] Rep. Steve Bergquist [D] Rep. Gerry Pollet [D]")</f>
        <v>Sen. Drew Hansen [D] Rep. My-Linh Thai [D] Rep. Frank Chopp [D] Rep. Joe Fitzgibbon [D], Rep. Tarra Simmons [D] Rep. Liz Berry [D] Sen. Vandana Slatter [D] Rep. Sharon Santos [D], Rep. Cindy Ryu [D] Rep. Chipalo Street [D] Rep. Mia Gregerson [D] Rep. Roger Goodman [D], Rep. Strom Peterson [D] Rep. Steve Tharinger [D] Rep. Alex Ramel [D] Rep. Nicole Macri [D], Rep. Timm Ormsby [D] Rep. Kristine Reeves [D] Rep. Tana Senn [D] Rep. Beth Doglio [D], Sen. Marcus Riccelli [D] Sen. Emily Alvarado [D] Sen. Jessica Bateman [D] Rep. Melanie Morgan [D], Rep. Lisa Callan [D] Rep. Steve Bergquist [D] Rep. Gerry Pollet [D]</v>
      </c>
      <c r="H41" s="6">
        <f t="shared" si="8"/>
        <v>27</v>
      </c>
      <c r="I41" s="5">
        <v>15.0</v>
      </c>
      <c r="J41" s="5">
        <v>12.0</v>
      </c>
      <c r="K41" s="5">
        <v>0.0</v>
      </c>
      <c r="L41" s="6">
        <f t="shared" si="2"/>
        <v>0.5555555556</v>
      </c>
      <c r="M41" s="5">
        <v>18.0</v>
      </c>
      <c r="N41" s="5">
        <v>3.0</v>
      </c>
      <c r="O41" s="5">
        <v>1.0</v>
      </c>
      <c r="P41" s="5">
        <v>5.0</v>
      </c>
      <c r="Q41" s="5">
        <v>0.0</v>
      </c>
      <c r="R41" s="5">
        <v>0.0</v>
      </c>
      <c r="S41" s="5">
        <v>0.0</v>
      </c>
      <c r="T41" s="6">
        <f t="shared" si="3"/>
        <v>0.3333333333</v>
      </c>
      <c r="U41" s="7">
        <f t="shared" si="4"/>
        <v>27</v>
      </c>
      <c r="V41" s="7">
        <f t="shared" si="9"/>
        <v>0</v>
      </c>
      <c r="W41" s="7">
        <f t="shared" si="10"/>
        <v>0</v>
      </c>
      <c r="X41" s="6">
        <f t="shared" si="7"/>
        <v>1</v>
      </c>
    </row>
    <row r="42">
      <c r="A42" s="3" t="s">
        <v>146</v>
      </c>
      <c r="B42" s="3">
        <v>2023.0</v>
      </c>
      <c r="C42" s="3" t="s">
        <v>147</v>
      </c>
      <c r="D42" s="7" t="s">
        <v>148</v>
      </c>
      <c r="E42" s="3" t="s">
        <v>149</v>
      </c>
      <c r="F42" s="5" t="s">
        <v>150</v>
      </c>
      <c r="G42" s="6" t="str">
        <f>IFERROR(__xludf.DUMMYFUNCTION("""COMPUTED_VALUE"""),"Sen. Clay Yarborough [R] Sen. Keith Perry [R] Sen. Douglas Broxson [R]")</f>
        <v>Sen. Clay Yarborough [R] Sen. Keith Perry [R] Sen. Douglas Broxson [R]</v>
      </c>
      <c r="H42" s="6">
        <f t="shared" si="8"/>
        <v>3</v>
      </c>
      <c r="I42" s="5">
        <v>0.0</v>
      </c>
      <c r="J42" s="5">
        <v>3.0</v>
      </c>
      <c r="K42" s="5">
        <v>0.0</v>
      </c>
      <c r="L42" s="6">
        <f t="shared" si="2"/>
        <v>0</v>
      </c>
      <c r="M42" s="5">
        <v>3.0</v>
      </c>
      <c r="N42" s="5">
        <v>0.0</v>
      </c>
      <c r="O42" s="5">
        <v>0.0</v>
      </c>
      <c r="P42" s="5">
        <v>0.0</v>
      </c>
      <c r="Q42" s="5">
        <v>0.0</v>
      </c>
      <c r="R42" s="5">
        <v>0.0</v>
      </c>
      <c r="S42" s="5">
        <v>0.0</v>
      </c>
      <c r="T42" s="6">
        <f t="shared" si="3"/>
        <v>0</v>
      </c>
      <c r="U42" s="5">
        <f t="shared" si="4"/>
        <v>0</v>
      </c>
      <c r="V42" s="5">
        <f t="shared" si="9"/>
        <v>3</v>
      </c>
      <c r="W42" s="5">
        <f t="shared" si="10"/>
        <v>0</v>
      </c>
      <c r="X42" s="6">
        <f t="shared" si="7"/>
        <v>0</v>
      </c>
    </row>
    <row r="43" hidden="1">
      <c r="A43" s="3"/>
      <c r="B43" s="3"/>
      <c r="C43" s="3"/>
      <c r="D43" s="7"/>
      <c r="E43" s="3"/>
      <c r="F43" s="5"/>
      <c r="G43" s="6" t="str">
        <f>IFERROR(__xludf.DUMMYFUNCTION("""COMPUTED_VALUE"""),"")</f>
        <v/>
      </c>
      <c r="H43" s="6"/>
      <c r="I43" s="5"/>
      <c r="J43" s="5"/>
      <c r="K43" s="5"/>
      <c r="L43" s="6"/>
      <c r="M43" s="5"/>
      <c r="N43" s="5"/>
      <c r="O43" s="5"/>
      <c r="P43" s="5"/>
      <c r="Q43" s="5"/>
      <c r="R43" s="5"/>
      <c r="S43" s="5"/>
      <c r="T43" s="6"/>
      <c r="U43" s="5"/>
      <c r="V43" s="5"/>
      <c r="W43" s="5"/>
      <c r="X43" s="6"/>
    </row>
    <row r="44">
      <c r="A44" s="3" t="s">
        <v>34</v>
      </c>
      <c r="B44" s="3">
        <v>2023.0</v>
      </c>
      <c r="C44" s="3" t="s">
        <v>44</v>
      </c>
      <c r="D44" s="4" t="s">
        <v>151</v>
      </c>
      <c r="E44" s="3" t="s">
        <v>74</v>
      </c>
      <c r="F44" s="5" t="s">
        <v>152</v>
      </c>
      <c r="G44" s="6" t="str">
        <f>IFERROR(__xludf.DUMMYFUNCTION("""COMPUTED_VALUE"""),"Rep. Patrick Flannery [R], Rep. Jason Nemes [R], Rep. Daniel Fister [R], Rep. Jacob Justice [R], Rep. Shawn McPherson [R], Rep. Kimberly Moser [R], Rep. Amy Neighbors [R], Rep. Michael Pollock [R], Rep. Scott Sharp [R]")</f>
        <v>Rep. Patrick Flannery [R], Rep. Jason Nemes [R], Rep. Daniel Fister [R], Rep. Jacob Justice [R], Rep. Shawn McPherson [R], Rep. Kimberly Moser [R], Rep. Amy Neighbors [R], Rep. Michael Pollock [R], Rep. Scott Sharp [R]</v>
      </c>
      <c r="H44" s="6">
        <f t="shared" ref="H44:H69" si="11">U44+V44+W44</f>
        <v>9</v>
      </c>
      <c r="I44" s="5">
        <v>2.0</v>
      </c>
      <c r="J44" s="5">
        <v>7.0</v>
      </c>
      <c r="K44" s="5">
        <v>0.0</v>
      </c>
      <c r="L44" s="6">
        <f t="shared" ref="L44:L212" si="12">IFERROR(I44/H44, 0)</f>
        <v>0.2222222222</v>
      </c>
      <c r="M44" s="5">
        <v>9.0</v>
      </c>
      <c r="N44" s="5">
        <v>0.0</v>
      </c>
      <c r="O44" s="5">
        <v>0.0</v>
      </c>
      <c r="P44" s="5">
        <v>0.0</v>
      </c>
      <c r="Q44" s="5">
        <v>0.0</v>
      </c>
      <c r="R44" s="5">
        <v>0.0</v>
      </c>
      <c r="S44" s="5">
        <v>0.0</v>
      </c>
      <c r="T44" s="6">
        <f t="shared" ref="T44:T212" si="13">IFERROR((N44+O44+P44+Q44+R44+S44)/H44, 0)</f>
        <v>0</v>
      </c>
      <c r="U44" s="5">
        <f t="shared" ref="U44:U63" si="14">IF(G44 = "", "", (LEN(G44) - LEN(SUBSTITUTE(G44, "[D]", ""))) / 3)</f>
        <v>0</v>
      </c>
      <c r="V44" s="5">
        <f t="shared" ref="V44:V54" si="15">IF(G44 = "", "", (LEN(G44) - LEN(SUBSTITUTE(G44, "[R]", ""))) / 3)</f>
        <v>9</v>
      </c>
      <c r="W44" s="5">
        <f t="shared" ref="W44:W54" si="16">IF(G44 = "", "", (LEN(G44) - LEN(SUBSTITUTE(G44, "[I]", ""))) / 3)</f>
        <v>0</v>
      </c>
      <c r="X44" s="6">
        <f t="shared" ref="X44:X212" si="17">IFERROR(U44/H44, 0)</f>
        <v>0</v>
      </c>
    </row>
    <row r="45">
      <c r="A45" s="3" t="s">
        <v>153</v>
      </c>
      <c r="B45" s="3">
        <v>2023.0</v>
      </c>
      <c r="C45" s="3" t="s">
        <v>44</v>
      </c>
      <c r="D45" s="4" t="s">
        <v>154</v>
      </c>
      <c r="E45" s="3" t="s">
        <v>74</v>
      </c>
      <c r="F45" s="5" t="s">
        <v>155</v>
      </c>
      <c r="G45" s="6" t="str">
        <f>IFERROR(__xludf.DUMMYFUNCTION("""COMPUTED_VALUE"""),"Rep. Paula Davis [R], Rep. Delisha Boyd [D], Rep. Chad Brown [D], Rep. Rhonda Butler [R], Rep. Dewith Carrier [R], Rep. Aimee Freeman [D], Rep. Barbara Freiberg [R], Rep. Cedric Glover [D], Rep. Stephanie Hilferty [R], Rep. Jason Hughes [D], Rep. John Ill"&amp;"g [R], Rep. Mandie Landry [D], Rep. Jack McFarland [R], Rep. Pat Moore [D], Rep. Candace Newell [D], Rep. Laurie Schlegel [R], Rep. Matthew Willard [D], Sen. Gary Carter [D], Sen. Royce Duplessis [D], Sen. Katrina Jackson-Andrews [D], Sen. Robert Mills [R"&amp;"], Sen. Gary Smith [D], Sen. Kirk Talbot [R]")</f>
        <v>Rep. Paula Davis [R], Rep. Delisha Boyd [D], Rep. Chad Brown [D], Rep. Rhonda Butler [R], Rep. Dewith Carrier [R], Rep. Aimee Freeman [D], Rep. Barbara Freiberg [R], Rep. Cedric Glover [D], Rep. Stephanie Hilferty [R], Rep. Jason Hughes [D], Rep. John Illg [R], Rep. Mandie Landry [D], Rep. Jack McFarland [R], Rep. Pat Moore [D], Rep. Candace Newell [D], Rep. Laurie Schlegel [R], Rep. Matthew Willard [D], Sen. Gary Carter [D], Sen. Royce Duplessis [D], Sen. Katrina Jackson-Andrews [D], Sen. Robert Mills [R], Sen. Gary Smith [D], Sen. Kirk Talbot [R]</v>
      </c>
      <c r="H45" s="6">
        <f t="shared" si="11"/>
        <v>23</v>
      </c>
      <c r="I45" s="5">
        <v>10.0</v>
      </c>
      <c r="J45" s="5">
        <v>13.0</v>
      </c>
      <c r="K45" s="5">
        <v>0.0</v>
      </c>
      <c r="L45" s="6">
        <f t="shared" si="12"/>
        <v>0.4347826087</v>
      </c>
      <c r="M45" s="5">
        <v>14.0</v>
      </c>
      <c r="N45" s="5">
        <v>9.0</v>
      </c>
      <c r="O45" s="5">
        <v>0.0</v>
      </c>
      <c r="P45" s="5">
        <v>0.0</v>
      </c>
      <c r="Q45" s="5">
        <v>0.0</v>
      </c>
      <c r="R45" s="5">
        <v>0.0</v>
      </c>
      <c r="S45" s="5">
        <v>0.0</v>
      </c>
      <c r="T45" s="6">
        <f t="shared" si="13"/>
        <v>0.3913043478</v>
      </c>
      <c r="U45" s="5">
        <f t="shared" si="14"/>
        <v>13</v>
      </c>
      <c r="V45" s="5">
        <f t="shared" si="15"/>
        <v>10</v>
      </c>
      <c r="W45" s="5">
        <f t="shared" si="16"/>
        <v>0</v>
      </c>
      <c r="X45" s="6">
        <f t="shared" si="17"/>
        <v>0.5652173913</v>
      </c>
    </row>
    <row r="46">
      <c r="A46" s="3" t="s">
        <v>156</v>
      </c>
      <c r="B46" s="3">
        <v>2023.0</v>
      </c>
      <c r="C46" s="3" t="s">
        <v>44</v>
      </c>
      <c r="D46" s="4" t="s">
        <v>157</v>
      </c>
      <c r="E46" s="3" t="s">
        <v>74</v>
      </c>
      <c r="F46" s="5" t="s">
        <v>158</v>
      </c>
      <c r="G46" s="6" t="str">
        <f>IFERROR(__xludf.DUMMYFUNCTION("""COMPUTED_VALUE"""),"Sen. Jen Gross [D]")</f>
        <v>Sen. Jen Gross [D]</v>
      </c>
      <c r="H46" s="6">
        <f t="shared" si="11"/>
        <v>1</v>
      </c>
      <c r="I46" s="5">
        <v>1.0</v>
      </c>
      <c r="J46" s="5">
        <v>0.0</v>
      </c>
      <c r="K46" s="5">
        <v>0.0</v>
      </c>
      <c r="L46" s="6">
        <f t="shared" si="12"/>
        <v>1</v>
      </c>
      <c r="M46" s="5">
        <v>1.0</v>
      </c>
      <c r="N46" s="5">
        <v>0.0</v>
      </c>
      <c r="O46" s="5">
        <v>0.0</v>
      </c>
      <c r="P46" s="5">
        <v>0.0</v>
      </c>
      <c r="Q46" s="5">
        <v>0.0</v>
      </c>
      <c r="R46" s="5">
        <v>0.0</v>
      </c>
      <c r="S46" s="5">
        <v>0.0</v>
      </c>
      <c r="T46" s="6">
        <f t="shared" si="13"/>
        <v>0</v>
      </c>
      <c r="U46" s="5">
        <f t="shared" si="14"/>
        <v>1</v>
      </c>
      <c r="V46" s="5">
        <f t="shared" si="15"/>
        <v>0</v>
      </c>
      <c r="W46" s="5">
        <f t="shared" si="16"/>
        <v>0</v>
      </c>
      <c r="X46" s="6">
        <f t="shared" si="17"/>
        <v>1</v>
      </c>
    </row>
    <row r="47">
      <c r="A47" s="3" t="s">
        <v>159</v>
      </c>
      <c r="B47" s="3">
        <v>2023.0</v>
      </c>
      <c r="C47" s="3" t="s">
        <v>44</v>
      </c>
      <c r="D47" s="4" t="s">
        <v>160</v>
      </c>
      <c r="E47" s="3" t="s">
        <v>161</v>
      </c>
      <c r="F47" s="5" t="s">
        <v>162</v>
      </c>
      <c r="G47" s="6" t="str">
        <f>IFERROR(__xludf.DUMMYFUNCTION("""COMPUTED_VALUE"""),"Rep. Angie Button [R], Rep. Stephanie Klick [R], Rep. Nicole Collier [D], Rep. Caroline Harris Davila [R], Rep. Victoria Neave Criado [D], Rep. Mihaela Plesa [D], Sen. Tan Parker [R]")</f>
        <v>Rep. Angie Button [R], Rep. Stephanie Klick [R], Rep. Nicole Collier [D], Rep. Caroline Harris Davila [R], Rep. Victoria Neave Criado [D], Rep. Mihaela Plesa [D], Sen. Tan Parker [R]</v>
      </c>
      <c r="H47" s="6">
        <f t="shared" si="11"/>
        <v>7</v>
      </c>
      <c r="I47" s="5">
        <v>6.0</v>
      </c>
      <c r="J47" s="5">
        <v>1.0</v>
      </c>
      <c r="K47" s="5">
        <v>0.0</v>
      </c>
      <c r="L47" s="6">
        <f t="shared" si="12"/>
        <v>0.8571428571</v>
      </c>
      <c r="M47" s="5">
        <v>4.0</v>
      </c>
      <c r="N47" s="5">
        <v>1.0</v>
      </c>
      <c r="O47" s="5">
        <v>1.0</v>
      </c>
      <c r="P47" s="5">
        <v>1.0</v>
      </c>
      <c r="Q47" s="5">
        <v>0.0</v>
      </c>
      <c r="R47" s="5">
        <v>0.0</v>
      </c>
      <c r="S47" s="5">
        <v>0.0</v>
      </c>
      <c r="T47" s="6">
        <f t="shared" si="13"/>
        <v>0.4285714286</v>
      </c>
      <c r="U47" s="7">
        <f t="shared" si="14"/>
        <v>3</v>
      </c>
      <c r="V47" s="7">
        <f t="shared" si="15"/>
        <v>4</v>
      </c>
      <c r="W47" s="7">
        <f t="shared" si="16"/>
        <v>0</v>
      </c>
      <c r="X47" s="6">
        <f t="shared" si="17"/>
        <v>0.4285714286</v>
      </c>
    </row>
    <row r="48">
      <c r="A48" s="8" t="s">
        <v>59</v>
      </c>
      <c r="B48" s="8">
        <v>2023.0</v>
      </c>
      <c r="C48" s="8" t="s">
        <v>39</v>
      </c>
      <c r="D48" s="9" t="s">
        <v>163</v>
      </c>
      <c r="E48" s="8" t="s">
        <v>41</v>
      </c>
      <c r="F48" s="5" t="s">
        <v>164</v>
      </c>
      <c r="G48" s="5" t="str">
        <f>IFERROR(__xludf.DUMMYFUNCTION("""COMPUTED_VALUE"""),"Sen. Matt Klein [D], Sen. Nick Frentz [D]")</f>
        <v>Sen. Matt Klein [D], Sen. Nick Frentz [D]</v>
      </c>
      <c r="H48" s="6">
        <f t="shared" si="11"/>
        <v>2</v>
      </c>
      <c r="I48" s="5">
        <v>0.0</v>
      </c>
      <c r="J48" s="5">
        <v>2.0</v>
      </c>
      <c r="K48" s="5">
        <v>0.0</v>
      </c>
      <c r="L48" s="6">
        <f t="shared" si="12"/>
        <v>0</v>
      </c>
      <c r="M48" s="5">
        <v>2.0</v>
      </c>
      <c r="N48" s="5">
        <v>0.0</v>
      </c>
      <c r="O48" s="5">
        <v>0.0</v>
      </c>
      <c r="P48" s="5">
        <v>0.0</v>
      </c>
      <c r="Q48" s="5">
        <v>0.0</v>
      </c>
      <c r="R48" s="5">
        <v>0.0</v>
      </c>
      <c r="S48" s="5">
        <v>0.0</v>
      </c>
      <c r="T48" s="6">
        <f t="shared" si="13"/>
        <v>0</v>
      </c>
      <c r="U48" s="5">
        <f t="shared" si="14"/>
        <v>2</v>
      </c>
      <c r="V48" s="5">
        <f t="shared" si="15"/>
        <v>0</v>
      </c>
      <c r="W48" s="5">
        <f t="shared" si="16"/>
        <v>0</v>
      </c>
      <c r="X48" s="6">
        <f t="shared" si="17"/>
        <v>1</v>
      </c>
    </row>
    <row r="49">
      <c r="A49" s="8" t="s">
        <v>156</v>
      </c>
      <c r="B49" s="8">
        <v>2023.0</v>
      </c>
      <c r="C49" s="8" t="s">
        <v>39</v>
      </c>
      <c r="D49" s="9" t="s">
        <v>31</v>
      </c>
      <c r="E49" s="8" t="s">
        <v>41</v>
      </c>
      <c r="F49" s="5" t="s">
        <v>165</v>
      </c>
      <c r="G49" s="5" t="str">
        <f>IFERROR(__xludf.DUMMYFUNCTION("""COMPUTED_VALUE"""),"Rep. Alice Buckley [D]")</f>
        <v>Rep. Alice Buckley [D]</v>
      </c>
      <c r="H49" s="6">
        <f t="shared" si="11"/>
        <v>1</v>
      </c>
      <c r="I49" s="5">
        <v>1.0</v>
      </c>
      <c r="J49" s="5">
        <v>0.0</v>
      </c>
      <c r="K49" s="5">
        <v>0.0</v>
      </c>
      <c r="L49" s="6">
        <f t="shared" si="12"/>
        <v>1</v>
      </c>
      <c r="M49" s="5">
        <v>1.0</v>
      </c>
      <c r="N49" s="5">
        <v>0.0</v>
      </c>
      <c r="O49" s="5">
        <v>0.0</v>
      </c>
      <c r="P49" s="5">
        <v>0.0</v>
      </c>
      <c r="Q49" s="5">
        <v>0.0</v>
      </c>
      <c r="R49" s="5">
        <v>0.0</v>
      </c>
      <c r="S49" s="5">
        <v>0.0</v>
      </c>
      <c r="T49" s="6">
        <f t="shared" si="13"/>
        <v>0</v>
      </c>
      <c r="U49" s="5">
        <f t="shared" si="14"/>
        <v>1</v>
      </c>
      <c r="V49" s="5">
        <f t="shared" si="15"/>
        <v>0</v>
      </c>
      <c r="W49" s="5">
        <f t="shared" si="16"/>
        <v>0</v>
      </c>
      <c r="X49" s="6">
        <f t="shared" si="17"/>
        <v>1</v>
      </c>
    </row>
    <row r="50">
      <c r="A50" s="8" t="s">
        <v>65</v>
      </c>
      <c r="B50" s="8">
        <v>2023.0</v>
      </c>
      <c r="C50" s="8" t="s">
        <v>39</v>
      </c>
      <c r="D50" s="9" t="s">
        <v>166</v>
      </c>
      <c r="E50" s="8" t="s">
        <v>85</v>
      </c>
      <c r="F50" s="5" t="s">
        <v>167</v>
      </c>
      <c r="G50" s="5" t="str">
        <f>IFERROR(__xludf.DUMMYFUNCTION("""COMPUTED_VALUE"""),"Sen. Meghan Kallman [D], Sen. Mark McKenney [D], Sen. Dawn Euer [D], Sen. Joshua Miller [D], Sen. Tiara Mack [D], Sen. Alana DiMario [D], Sen. Pamela Lauria [D], Sen. Matthew LaMountain [D], Sen. Ryan Pearson [D]")</f>
        <v>Sen. Meghan Kallman [D], Sen. Mark McKenney [D], Sen. Dawn Euer [D], Sen. Joshua Miller [D], Sen. Tiara Mack [D], Sen. Alana DiMario [D], Sen. Pamela Lauria [D], Sen. Matthew LaMountain [D], Sen. Ryan Pearson [D]</v>
      </c>
      <c r="H50" s="6">
        <f t="shared" si="11"/>
        <v>9</v>
      </c>
      <c r="I50" s="5">
        <v>5.0</v>
      </c>
      <c r="J50" s="5">
        <v>4.0</v>
      </c>
      <c r="K50" s="5">
        <v>0.0</v>
      </c>
      <c r="L50" s="6">
        <f t="shared" si="12"/>
        <v>0.5555555556</v>
      </c>
      <c r="M50" s="5">
        <v>8.0</v>
      </c>
      <c r="N50" s="5">
        <v>1.0</v>
      </c>
      <c r="O50" s="5">
        <v>0.0</v>
      </c>
      <c r="P50" s="5">
        <v>0.0</v>
      </c>
      <c r="Q50" s="5">
        <v>0.0</v>
      </c>
      <c r="R50" s="5">
        <v>0.0</v>
      </c>
      <c r="S50" s="5">
        <v>0.0</v>
      </c>
      <c r="T50" s="6">
        <f t="shared" si="13"/>
        <v>0.1111111111</v>
      </c>
      <c r="U50" s="7">
        <f t="shared" si="14"/>
        <v>9</v>
      </c>
      <c r="V50" s="7">
        <f t="shared" si="15"/>
        <v>0</v>
      </c>
      <c r="W50" s="7">
        <f t="shared" si="16"/>
        <v>0</v>
      </c>
      <c r="X50" s="6">
        <f t="shared" si="17"/>
        <v>1</v>
      </c>
    </row>
    <row r="51">
      <c r="A51" s="8" t="s">
        <v>159</v>
      </c>
      <c r="B51" s="8">
        <v>2023.0</v>
      </c>
      <c r="C51" s="8" t="s">
        <v>39</v>
      </c>
      <c r="D51" s="10" t="s">
        <v>168</v>
      </c>
      <c r="E51" s="8" t="s">
        <v>85</v>
      </c>
      <c r="F51" s="5" t="s">
        <v>169</v>
      </c>
      <c r="G51" s="5" t="str">
        <f>IFERROR(__xludf.DUMMYFUNCTION("""COMPUTED_VALUE"""),"Rep. Claudia Ordaz Perez [D], Rep. Shelby Slawson [R], Rep. James Frank [R], Rep. Toni Rose [D], Rep. Donna Howard [D], Rep. Alma Allen [D], Rep. Rafael Anchia [D], Rep. Ernest Bailes [R], Rep. Diego Bernal [D], Rep. Ben Bumgarner [R], Rep. Angie Button ["&amp;"R], Rep. Elizabeth Campos [D], Rep. Nicole Collier [D], Rep. David Cook [R], Rep. Philip Cortez [D], Rep. Drew Darby [R], Rep. Maria Flores [D], Rep. Frederick Frazier [R], Rep. Erin Gamez [D], Rep. Josey Garcia [D], Rep. Gary Gates [R], Rep. Jessica Gonz"&amp;"alez [D], Rep. Vikki Goodwin [D], Rep. Ryan Guillen [R], Rep. Caroline Harris Davila [R], Rep. Ana Hernandez [D], Rep. Gina Hinojosa [D], Rep. Carrie Isaac [R], Rep. Jacey Jetton [R], Rep. Ann Johnson [D], Rep. Jarvis Johnson [D], Rep. Julie Johnson [D], "&amp;"Rep. Venton Jones [D], Rep. Suleman Lalani [D], Rep. Stan Lambert [R], Rep. Jeff Leach [R], Rep. Janie Lopez [R], Rep. Ray Lopez [D], Rep. John Lujan [R], Rep. Christian Manuel [D], Rep. Terry Meza [D], Rep. Penny Morales Shaw [D], Rep. Christina Morales "&amp;"[D], Rep. Eddie Morales [D], Rep. Geanie Morrison [R], Rep. Victoria Neave Criado [D], Rep. Tom Oliverson [R], Rep. Angelia Orr [R], Rep. Lina Ortega [D], Rep. Jared Patterson [R], Rep. Mary Perez [D], Rep. Mihaela Plesa [D], Rep. Ana-Maria Rodriguez Ramo"&amp;"s [D], Rep. John Raney [R], Rep. Ramon Romero [D], Rep. Hugh Shine [R], Rep. Reggie Smith [R], Rep. Kronda Thimesch [R], Rep. Ellen Troxclair [R], Rep. Chris Turner [D], Rep. Hubert Vo [D], Rep. Armando Walle [D], Rep. Eugene Wu [D], Rep. Erin Zwiener [D]"&amp;", Sen. Angela Paxton [R], Sen. Carol Alvarado [D], Sen. Cesar Blanco [D], Sen. Sarah Eckhardt [D], Sen. Juan Hinojosa [D], Sen. Joan Huffman [R], Sen. Morgan LaMantia [D], Sen. Royce West [D]")</f>
        <v>Rep. Claudia Ordaz Perez [D], Rep. Shelby Slawson [R], Rep. James Frank [R], Rep. Toni Rose [D], Rep. Donna Howard [D], Rep. Alma Allen [D], Rep. Rafael Anchia [D], Rep. Ernest Bailes [R], Rep. Diego Bernal [D], Rep. Ben Bumgarner [R], Rep. Angie Button [R], Rep. Elizabeth Campos [D], Rep. Nicole Collier [D], Rep. David Cook [R], Rep. Philip Cortez [D], Rep. Drew Darby [R], Rep. Maria Flores [D], Rep. Frederick Frazier [R], Rep. Erin Gamez [D], Rep. Josey Garcia [D], Rep. Gary Gates [R], Rep. Jessica Gonzalez [D], Rep. Vikki Goodwin [D], Rep. Ryan Guillen [R], Rep. Caroline Harris Davila [R], Rep. Ana Hernandez [D], Rep. Gina Hinojosa [D], Rep. Carrie Isaac [R], Rep. Jacey Jetton [R], Rep. Ann Johnson [D], Rep. Jarvis Johnson [D], Rep. Julie Johnson [D], Rep. Venton Jones [D], Rep. Suleman Lalani [D], Rep. Stan Lambert [R], Rep. Jeff Leach [R], Rep. Janie Lopez [R], Rep. Ray Lopez [D], Rep. John Lujan [R], Rep. Christian Manuel [D], Rep. Terry Meza [D], Rep. Penny Morales Shaw [D], Rep. Christina Morales [D], Rep. Eddie Morales [D], Rep. Geanie Morrison [R], Rep. Victoria Neave Criado [D], Rep. Tom Oliverson [R], Rep. Angelia Orr [R], Rep. Lina Ortega [D], Rep. Jared Patterson [R], Rep. Mary Perez [D], Rep. Mihaela Plesa [D], Rep. Ana-Maria Rodriguez Ramos [D], Rep. John Raney [R], Rep. Ramon Romero [D], Rep. Hugh Shine [R], Rep. Reggie Smith [R], Rep. Kronda Thimesch [R], Rep. Ellen Troxclair [R], Rep. Chris Turner [D], Rep. Hubert Vo [D], Rep. Armando Walle [D], Rep. Eugene Wu [D], Rep. Erin Zwiener [D], Sen. Angela Paxton [R], Sen. Carol Alvarado [D], Sen. Cesar Blanco [D], Sen. Sarah Eckhardt [D], Sen. Juan Hinojosa [D], Sen. Joan Huffman [R], Sen. Morgan LaMantia [D], Sen. Royce West [D]</v>
      </c>
      <c r="H51" s="6">
        <f t="shared" si="11"/>
        <v>72</v>
      </c>
      <c r="I51" s="5">
        <v>37.0</v>
      </c>
      <c r="J51" s="5">
        <v>35.0</v>
      </c>
      <c r="K51" s="5">
        <v>0.0</v>
      </c>
      <c r="L51" s="6">
        <f t="shared" si="12"/>
        <v>0.5138888889</v>
      </c>
      <c r="M51" s="5">
        <v>35.0</v>
      </c>
      <c r="N51" s="5">
        <v>7.0</v>
      </c>
      <c r="O51" s="5">
        <v>26.0</v>
      </c>
      <c r="P51" s="5">
        <v>4.0</v>
      </c>
      <c r="Q51" s="5">
        <v>0.0</v>
      </c>
      <c r="R51" s="5">
        <v>0.0</v>
      </c>
      <c r="S51" s="5">
        <v>0.0</v>
      </c>
      <c r="T51" s="6">
        <f t="shared" si="13"/>
        <v>0.5138888889</v>
      </c>
      <c r="U51" s="7">
        <f t="shared" si="14"/>
        <v>44</v>
      </c>
      <c r="V51" s="7">
        <f t="shared" si="15"/>
        <v>28</v>
      </c>
      <c r="W51" s="7">
        <f t="shared" si="16"/>
        <v>0</v>
      </c>
      <c r="X51" s="6">
        <f t="shared" si="17"/>
        <v>0.6111111111</v>
      </c>
    </row>
    <row r="52">
      <c r="A52" s="3" t="s">
        <v>100</v>
      </c>
      <c r="B52" s="3">
        <v>2023.0</v>
      </c>
      <c r="C52" s="3" t="s">
        <v>87</v>
      </c>
      <c r="D52" s="4" t="s">
        <v>170</v>
      </c>
      <c r="E52" s="3" t="s">
        <v>89</v>
      </c>
      <c r="F52" s="5" t="s">
        <v>171</v>
      </c>
      <c r="G52" s="5" t="str">
        <f>IFERROR(__xludf.DUMMYFUNCTION("""COMPUTED_VALUE"""),"Sen. Janice Marchman [D] Sen. Janice Rich [R] Rep. Eliza Hamrick [D] Rep. Richard Holtorf [R], Sen. Mark Baisley [R] Sen. Jeff Bridges [D] Sen. Janet Buckner [D] Sen. James Coleman [D], Sen. Lisa Cutter [D] Sen. Jessie Danielson [D] Sen. Thomas Exum [D] S"&amp;"en. Rhonda Fields [D], Sen. Bob Gardner [R] Sen. Joann Ginal [D] Sen. Julie Gonzales [D] Sen. Sonya Jaquez Lewis [D], Sen. Barbara Kirkmeyer [R] Sen. Larry Liston [R] Sen. Paul Lundeen [R] Sen. Kyle Mullica [D], Sen. Byron Pelton [R] Sen. Rod Pelton [R] S"&amp;"en. Kevin Priola [D] Sen. Dylan Roberts [D], Sen. Cleave Simpson [R] Sen. Jim Smallwood [R] Sen. Perry Will [R] Sen. Faith Winter [D], Rep. Ryan Armagost [R] Rep. Jennifer Bacon [D] Rep. Shannon Bird [D] Rep. Andrew Boesenecker [D], Rep. Kyle Brown [D] Re"&amp;"p. Ruby Dickson [D] Rep. Monica Duran [D] Rep. Regina English [D], Rep. Meg Froelich [D] Rep. Lorena Garcia [D] Sen. Iman Jodeh [D] Rep. Junie Joseph [D], Rep. Mandy Lindsay [D] Rep. Meghan Lukens [D] Rep. Michael Lynch [R] Rep. Bob Marshall [D], Rep. Jul"&amp;"ie McCluskie [D] Rep. Karen McCormick [D] Rep. Barbara McLachlan [D] Sen. Dafna Michaelson Jenet [D], Rep. David Ortiz [D] Rep. Jennifer Parenti [D] Rep. Naquetta Ricks [D] Rep. Said Sharbini [D], Sen. Marc Snyder [D] Rep. Tammy Story [D] Rep. Brianna Tit"&amp;"one [D] Rep. Alex Valdez [D], Rep. Elizabeth Velasco [D] Sen. Michael Weissman [D] Rep. Jenny Willford [D] Rep. Steven Woodrow [D], Rep. Mary Young [D]")</f>
        <v>Sen. Janice Marchman [D] Sen. Janice Rich [R] Rep. Eliza Hamrick [D] Rep. Richard Holtorf [R], Sen. Mark Baisley [R] Sen. Jeff Bridges [D] Sen. Janet Buckner [D] Sen. James Coleman [D], Sen. Lisa Cutter [D] Sen. Jessie Danielson [D] Sen. Thomas Exum [D] Sen. Rhonda Fields [D], Sen. Bob Gardner [R] Sen. Joann Ginal [D] Sen. Julie Gonzales [D] Sen. Sonya Jaquez Lewis [D], Sen. Barbara Kirkmeyer [R] Sen. Larry Liston [R] Sen. Paul Lundeen [R] Sen. Kyle Mullica [D], Sen. Byron Pelton [R] Sen. Rod Pelton [R] Sen. Kevin Priola [D] Sen. Dylan Roberts [D], Sen. Cleave Simpson [R] Sen. Jim Smallwood [R] Sen. Perry Will [R] Sen. Faith Winter [D], Rep. Ryan Armagost [R] Rep. Jennifer Bacon [D] Rep. Shannon Bird [D] Rep. Andrew Boesenecker [D], Rep. Kyle Brown [D] Rep. Ruby Dickson [D] Rep. Monica Duran [D] Rep. Regina English [D], Rep. Meg Froelich [D] Rep. Lorena Garcia [D] Sen. Iman Jodeh [D] Rep. Junie Joseph [D], Rep. Mandy Lindsay [D] Rep. Meghan Lukens [D] Rep. Michael Lynch [R] Rep. Bob Marshall [D], Rep. Julie McCluskie [D] Rep. Karen McCormick [D] Rep. Barbara McLachlan [D] Sen. Dafna Michaelson Jenet [D], Rep. David Ortiz [D] Rep. Jennifer Parenti [D] Rep. Naquetta Ricks [D] Rep. Said Sharbini [D], Sen. Marc Snyder [D] Rep. Tammy Story [D] Rep. Brianna Titone [D] Rep. Alex Valdez [D], Rep. Elizabeth Velasco [D] Sen. Michael Weissman [D] Rep. Jenny Willford [D] Rep. Steven Woodrow [D], Rep. Mary Young [D]</v>
      </c>
      <c r="H52" s="6">
        <f t="shared" si="11"/>
        <v>61</v>
      </c>
      <c r="I52" s="5">
        <v>32.0</v>
      </c>
      <c r="J52" s="5">
        <v>28.0</v>
      </c>
      <c r="K52" s="5">
        <v>1.0</v>
      </c>
      <c r="L52" s="6">
        <f t="shared" si="12"/>
        <v>0.5245901639</v>
      </c>
      <c r="M52" s="5">
        <v>43.0</v>
      </c>
      <c r="N52" s="5">
        <v>8.0</v>
      </c>
      <c r="O52" s="5">
        <v>7.0</v>
      </c>
      <c r="P52" s="5">
        <v>0.0</v>
      </c>
      <c r="Q52" s="5">
        <v>0.0</v>
      </c>
      <c r="R52" s="5">
        <v>0.0</v>
      </c>
      <c r="S52" s="5">
        <v>3.0</v>
      </c>
      <c r="T52" s="6">
        <f t="shared" si="13"/>
        <v>0.2950819672</v>
      </c>
      <c r="U52" s="5">
        <f t="shared" si="14"/>
        <v>47</v>
      </c>
      <c r="V52" s="5">
        <f t="shared" si="15"/>
        <v>14</v>
      </c>
      <c r="W52" s="5">
        <f t="shared" si="16"/>
        <v>0</v>
      </c>
      <c r="X52" s="6">
        <f t="shared" si="17"/>
        <v>0.7704918033</v>
      </c>
    </row>
    <row r="53">
      <c r="A53" s="3" t="s">
        <v>100</v>
      </c>
      <c r="B53" s="3">
        <v>2023.0</v>
      </c>
      <c r="C53" s="3" t="s">
        <v>90</v>
      </c>
      <c r="D53" s="4" t="s">
        <v>172</v>
      </c>
      <c r="E53" s="3" t="s">
        <v>173</v>
      </c>
      <c r="F53" s="5" t="s">
        <v>174</v>
      </c>
      <c r="G53" s="5" t="str">
        <f>IFERROR(__xludf.DUMMYFUNCTION("""COMPUTED_VALUE"""),"Sen. Lisa Cutter [D], Sen. Dominick Moreno [D], Rep. Lorena Garcia [D], Sen. Dafna Michaelson Jenet [D], Sen. Julie Gonzales [D], Sen. Sonya Jaquez Lewis [D], Sen. Janice Marchman [D], Sen. Faith Winter [D], Rep. Elisabeth Epps [D], Rep. Meg Froelich [D],"&amp;" Rep. Karen McCormick [D], Rep. Brianna Titone [D], Sen. Janet Buckner [D], Sen. James Coleman [D], Sen. Jessie Danielson [D], Sen. Steve Fenberg [D], Sen. Rhonda Fields [D], Sen. Joann Ginal [D], Sen. Nick Hinrichsen [D], Sen. Kyle Mullica [D], Sen. Tom "&amp;"Sullivan [D], Sen. Judith Amabile [D], Rep. Jennifer Bacon [D], Rep. Shannon Bird [D], Rep. Andrew Boesenecker [D], Rep. Kyle Brown [D], Sen. Lindsey Daugherty [D], Rep. Ruby Dickson [D], Rep. Monica Duran [D], Rep. Serena Gonzales-Gutierrez [D], Rep. Eli"&amp;"za Hamrick [D], Sen. Iman Jodeh [D], Rep. Junie Joseph [D], Sen. Cathy Kipp [D], Rep. Sheila Lieder [D], Rep. Mandy Lindsay [D], Rep. William Lindstedt [D], Rep. Meghan Lukens [D], Rep. Javier Mabrey [D], Rep. Julie McCluskie [D], Rep. Barbara McLachlan ["&amp;"D], Rep. David Ortiz [D], Rep. Jennifer Parenti [D], Rep. Naquetta Ricks [D], Rep. Said Sharbini [D], Rep. Emily Sirota [D], Sen. Marc Snyder [D], Rep. Tammy Story [D], Rep. Elizabeth Velasco [D], Rep. Stephanie Vigil [D], Rep. Jenny Willford [D], Rep. St"&amp;"even Woodrow [D], Rep. Mary Young [D], Rep. Chris Kennedy [D]")</f>
        <v>Sen. Lisa Cutter [D], Sen. Dominick Moreno [D], Rep. Lorena Garcia [D], Sen. Dafna Michaelson Jenet [D], Sen. Julie Gonzales [D], Sen. Sonya Jaquez Lewis [D], Sen. Janice Marchman [D], Sen. Faith Winter [D], Rep. Elisabeth Epps [D], Rep. Meg Froelich [D], Rep. Karen McCormick [D], Rep. Brianna Titone [D], Sen. Janet Buckner [D], Sen. James Coleman [D], Sen. Jessie Danielson [D], Sen. Steve Fenberg [D], Sen. Rhonda Fields [D], Sen. Joann Ginal [D], Sen. Nick Hinrichsen [D], Sen. Kyle Mullica [D], Sen. Tom Sullivan [D], Sen. Judith Amabile [D], Rep. Jennifer Bacon [D], Rep. Shannon Bird [D], Rep. Andrew Boesenecker [D], Rep. Kyle Brown [D], Sen. Lindsey Daugherty [D], Rep. Ruby Dickson [D], Rep. Monica Duran [D], Rep. Serena Gonzales-Gutierrez [D], Rep. Eliza Hamrick [D], Sen. Iman Jodeh [D], Rep. Junie Joseph [D], Sen. Cathy Kipp [D], Rep. Sheila Lieder [D], Rep. Mandy Lindsay [D], Rep. William Lindstedt [D], Rep. Meghan Lukens [D], Rep. Javier Mabrey [D], Rep. Julie McCluskie [D], Rep. Barbara McLachlan [D], Rep. David Ortiz [D], Rep. Jennifer Parenti [D], Rep. Naquetta Ricks [D], Rep. Said Sharbini [D], Rep. Emily Sirota [D], Sen. Marc Snyder [D], Rep. Tammy Story [D], Rep. Elizabeth Velasco [D], Rep. Stephanie Vigil [D], Rep. Jenny Willford [D], Rep. Steven Woodrow [D], Rep. Mary Young [D], Rep. Chris Kennedy [D]</v>
      </c>
      <c r="H53" s="6">
        <f t="shared" si="11"/>
        <v>54</v>
      </c>
      <c r="I53" s="5">
        <v>37.0</v>
      </c>
      <c r="J53" s="5">
        <v>16.0</v>
      </c>
      <c r="K53" s="5">
        <v>1.0</v>
      </c>
      <c r="L53" s="6">
        <f t="shared" si="12"/>
        <v>0.6851851852</v>
      </c>
      <c r="M53" s="11">
        <v>36.0</v>
      </c>
      <c r="N53" s="11">
        <v>7.0</v>
      </c>
      <c r="O53" s="11">
        <v>8.0</v>
      </c>
      <c r="P53" s="11">
        <v>0.0</v>
      </c>
      <c r="Q53" s="11">
        <v>0.0</v>
      </c>
      <c r="R53" s="11">
        <v>0.0</v>
      </c>
      <c r="S53" s="11">
        <v>3.0</v>
      </c>
      <c r="T53" s="6">
        <f t="shared" si="13"/>
        <v>0.3333333333</v>
      </c>
      <c r="U53" s="5">
        <f t="shared" si="14"/>
        <v>54</v>
      </c>
      <c r="V53" s="5">
        <f t="shared" si="15"/>
        <v>0</v>
      </c>
      <c r="W53" s="5">
        <f t="shared" si="16"/>
        <v>0</v>
      </c>
      <c r="X53" s="6">
        <f t="shared" si="17"/>
        <v>1</v>
      </c>
    </row>
    <row r="54">
      <c r="A54" s="3" t="s">
        <v>72</v>
      </c>
      <c r="B54" s="3">
        <v>2023.0</v>
      </c>
      <c r="C54" s="3" t="s">
        <v>90</v>
      </c>
      <c r="D54" s="7" t="s">
        <v>175</v>
      </c>
      <c r="E54" s="3" t="s">
        <v>176</v>
      </c>
      <c r="F54" s="5" t="s">
        <v>177</v>
      </c>
      <c r="G54" s="5" t="str">
        <f>IFERROR(__xludf.DUMMYFUNCTION("""COMPUTED_VALUE"""),"Sen. Celina Villanueva [D] Sen. Mattie Hunter [D] Sen. Laura Murphy [D] Sen. Adriane Johnson [D], Sen. Rachel Ventura [D] Sen. Javier Cervantes [D] Sen. Mary Edly-Allen [D] Sen. Mike Porfirio [D], Sen. Christopher Belt [D] Sen. Mike Simmons [D] Sen. Micha"&amp;"el Hastings [D] Sen. Laura Fine [D], Sen. Sara Feigenholtz [D] Rep. Kelly Cassidy [D] Rep. Camille Lilly [D], Rep. Lilian Jimenez [D] Rep. Mary Canty [D] Rep. Terra Costa Howard [D], Rep. Matt Hanson [D] Rep. Anne Stava-Murray [D] Rep. Lindsey LaPointe [D"&amp;"] Rep. Theresa Mah [D], Rep. Marcus Evans [D] Rep. Daniel Didech [D] Rep. Janet Yang Rohr [D] Rep. Kimberly Du Buclet [D], Rep. Maura Hirschauer [D] Rep. Michelle Mussman [D], Rep. Edgar Gonzalez [D] Rep. Nabeela Syed [D], Rep. Hoan Huynh [D] Rep. Laura F"&amp;"aver Dias [D] Rep. Norma Hernandez [D], Rep. Kevin Olickal [D] Rep. Joyce Mason [D], Rep. Will Guzzardi [D] Rep. Barbara Hernandez [D], Rep. Justin Slaughter [D] Rep. Sonya Harper [D], Rep. Katie Stuart [D] Rep. Anna Moeller [D], Rep. Margaret Croke [D] R"&amp;"ep. Eva Dina Delgado [D]")</f>
        <v>Sen. Celina Villanueva [D] Sen. Mattie Hunter [D] Sen. Laura Murphy [D] Sen. Adriane Johnson [D], Sen. Rachel Ventura [D] Sen. Javier Cervantes [D] Sen. Mary Edly-Allen [D] Sen. Mike Porfirio [D], Sen. Christopher Belt [D] Sen. Mike Simmons [D] Sen. Michael Hastings [D] Sen. Laura Fine [D], Sen. Sara Feigenholtz [D] Rep. Kelly Cassidy [D] Rep. Camille Lilly [D], Rep. Lilian Jimenez [D] Rep. Mary Canty [D] Rep. Terra Costa Howard [D], Rep. Matt Hanson [D] Rep. Anne Stava-Murray [D] Rep. Lindsey LaPointe [D] Rep. Theresa Mah [D], Rep. Marcus Evans [D] Rep. Daniel Didech [D] Rep. Janet Yang Rohr [D] Rep. Kimberly Du Buclet [D], Rep. Maura Hirschauer [D] Rep. Michelle Mussman [D], Rep. Edgar Gonzalez [D] Rep. Nabeela Syed [D], Rep. Hoan Huynh [D] Rep. Laura Faver Dias [D] Rep. Norma Hernandez [D], Rep. Kevin Olickal [D] Rep. Joyce Mason [D], Rep. Will Guzzardi [D] Rep. Barbara Hernandez [D], Rep. Justin Slaughter [D] Rep. Sonya Harper [D], Rep. Katie Stuart [D] Rep. Anna Moeller [D], Rep. Margaret Croke [D] Rep. Eva Dina Delgado [D]</v>
      </c>
      <c r="H54" s="6">
        <f t="shared" si="11"/>
        <v>43</v>
      </c>
      <c r="I54" s="5">
        <v>29.0</v>
      </c>
      <c r="J54" s="5">
        <v>14.0</v>
      </c>
      <c r="K54" s="5">
        <v>0.0</v>
      </c>
      <c r="L54" s="6">
        <f t="shared" si="12"/>
        <v>0.6744186047</v>
      </c>
      <c r="M54" s="5">
        <v>21.0</v>
      </c>
      <c r="N54" s="5">
        <v>11.0</v>
      </c>
      <c r="O54" s="5">
        <v>7.0</v>
      </c>
      <c r="P54" s="5">
        <v>4.0</v>
      </c>
      <c r="Q54" s="5">
        <v>0.0</v>
      </c>
      <c r="R54" s="5">
        <v>0.0</v>
      </c>
      <c r="S54" s="5">
        <v>0.0</v>
      </c>
      <c r="T54" s="6">
        <f t="shared" si="13"/>
        <v>0.511627907</v>
      </c>
      <c r="U54" s="5">
        <f t="shared" si="14"/>
        <v>43</v>
      </c>
      <c r="V54" s="5">
        <f t="shared" si="15"/>
        <v>0</v>
      </c>
      <c r="W54" s="5">
        <f t="shared" si="16"/>
        <v>0</v>
      </c>
      <c r="X54" s="6">
        <f t="shared" si="17"/>
        <v>1</v>
      </c>
    </row>
    <row r="55">
      <c r="A55" s="3" t="s">
        <v>94</v>
      </c>
      <c r="B55" s="3">
        <v>2011.0</v>
      </c>
      <c r="C55" s="3" t="s">
        <v>25</v>
      </c>
      <c r="D55" s="4" t="s">
        <v>178</v>
      </c>
      <c r="E55" s="7" t="s">
        <v>179</v>
      </c>
      <c r="F55" s="5" t="s">
        <v>180</v>
      </c>
      <c r="G55" s="6" t="str">
        <f>IFERROR(__xludf.DUMMYFUNCTION("""COMPUTED_VALUE"""),"Sen. Elfreda Higgins [D], Sen. Thomas Loertscher [R], Se. Phylis King [D], Sen. Brent Crane [R], Sen. Cherie Buckner-Webb [D], Sen. Eric Anderson [R], Sen. Elaine Smith [D], Sen. Kathleen Sims [R], Sen. Frank Henderson [R], Sen. Pat Takasugi [R], Sen. Car"&amp;"los Bilbao [R], Sen. Max Black [R], Sen. Lynn Luker [R], Sen. Joe Palmer [R], Sen. John Stevenson [R], Sen. Ken Andrus [R], Sen. Jim Guthrie [R], Sen. Janice McGeachin [R], Sen. Erik Simpson [R]")</f>
        <v>Sen. Elfreda Higgins [D], Sen. Thomas Loertscher [R], Se. Phylis King [D], Sen. Brent Crane [R], Sen. Cherie Buckner-Webb [D], Sen. Eric Anderson [R], Sen. Elaine Smith [D], Sen. Kathleen Sims [R], Sen. Frank Henderson [R], Sen. Pat Takasugi [R], Sen. Carlos Bilbao [R], Sen. Max Black [R], Sen. Lynn Luker [R], Sen. Joe Palmer [R], Sen. John Stevenson [R], Sen. Ken Andrus [R], Sen. Jim Guthrie [R], Sen. Janice McGeachin [R], Sen. Erik Simpson [R]</v>
      </c>
      <c r="H55" s="6">
        <f t="shared" si="11"/>
        <v>19</v>
      </c>
      <c r="I55" s="5">
        <v>6.0</v>
      </c>
      <c r="J55" s="5">
        <v>13.0</v>
      </c>
      <c r="K55" s="5">
        <v>0.0</v>
      </c>
      <c r="L55" s="6">
        <f t="shared" si="12"/>
        <v>0.3157894737</v>
      </c>
      <c r="M55" s="5">
        <v>17.0</v>
      </c>
      <c r="N55" s="5">
        <v>1.0</v>
      </c>
      <c r="O55" s="5">
        <v>0.0</v>
      </c>
      <c r="P55" s="5">
        <v>1.0</v>
      </c>
      <c r="Q55" s="5">
        <v>0.0</v>
      </c>
      <c r="R55" s="5">
        <v>0.0</v>
      </c>
      <c r="S55" s="5">
        <v>0.0</v>
      </c>
      <c r="T55" s="6">
        <f t="shared" si="13"/>
        <v>0.1052631579</v>
      </c>
      <c r="U55" s="5">
        <f t="shared" si="14"/>
        <v>4</v>
      </c>
      <c r="V55" s="5">
        <v>15.0</v>
      </c>
      <c r="W55" s="5">
        <v>0.0</v>
      </c>
      <c r="X55" s="6">
        <f t="shared" si="17"/>
        <v>0.2105263158</v>
      </c>
    </row>
    <row r="56">
      <c r="A56" s="3" t="s">
        <v>59</v>
      </c>
      <c r="B56" s="3">
        <v>2023.0</v>
      </c>
      <c r="C56" s="3" t="s">
        <v>90</v>
      </c>
      <c r="D56" s="4" t="s">
        <v>181</v>
      </c>
      <c r="E56" s="3" t="s">
        <v>127</v>
      </c>
      <c r="F56" s="5" t="s">
        <v>182</v>
      </c>
      <c r="G56" s="5" t="str">
        <f>IFERROR(__xludf.DUMMYFUNCTION("""COMPUTED_VALUE"""),"Sen. Melissa Wiklund [D]")</f>
        <v>Sen. Melissa Wiklund [D]</v>
      </c>
      <c r="H56" s="6">
        <f t="shared" si="11"/>
        <v>1</v>
      </c>
      <c r="I56" s="5">
        <v>1.0</v>
      </c>
      <c r="J56" s="5">
        <v>0.0</v>
      </c>
      <c r="K56" s="5">
        <v>0.0</v>
      </c>
      <c r="L56" s="6">
        <f t="shared" si="12"/>
        <v>1</v>
      </c>
      <c r="M56" s="5">
        <v>1.0</v>
      </c>
      <c r="N56" s="5">
        <v>0.0</v>
      </c>
      <c r="O56" s="5">
        <v>0.0</v>
      </c>
      <c r="P56" s="5">
        <v>0.0</v>
      </c>
      <c r="Q56" s="5">
        <v>0.0</v>
      </c>
      <c r="R56" s="5">
        <v>0.0</v>
      </c>
      <c r="S56" s="5">
        <v>0.0</v>
      </c>
      <c r="T56" s="6">
        <f t="shared" si="13"/>
        <v>0</v>
      </c>
      <c r="U56" s="5">
        <f t="shared" si="14"/>
        <v>1</v>
      </c>
      <c r="V56" s="5">
        <f t="shared" ref="V56:V63" si="18">IF(G56 = "", "", (LEN(G56) - LEN(SUBSTITUTE(G56, "[R]", ""))) / 3)</f>
        <v>0</v>
      </c>
      <c r="W56" s="5">
        <f t="shared" ref="W56:W63" si="19">IF(G56 = "", "", (LEN(G56) - LEN(SUBSTITUTE(G56, "[I]", ""))) / 3)</f>
        <v>0</v>
      </c>
      <c r="X56" s="6">
        <f t="shared" si="17"/>
        <v>1</v>
      </c>
    </row>
    <row r="57">
      <c r="A57" s="3" t="s">
        <v>100</v>
      </c>
      <c r="B57" s="3">
        <v>2023.0</v>
      </c>
      <c r="C57" s="3" t="s">
        <v>95</v>
      </c>
      <c r="D57" s="4" t="s">
        <v>170</v>
      </c>
      <c r="E57" s="3" t="s">
        <v>99</v>
      </c>
      <c r="F57" s="5" t="s">
        <v>171</v>
      </c>
      <c r="G57" s="5" t="str">
        <f>IFERROR(__xludf.DUMMYFUNCTION("""COMPUTED_VALUE"""),"Sen. Janice Marchman [D] Sen. Janice Rich [R] Rep. Eliza Hamrick [D] Rep. Richard Holtorf [R], Sen. Mark Baisley [R] Sen. Jeff Bridges [D] Sen. Janet Buckner [D] Sen. James Coleman [D], Sen. Lisa Cutter [D] Sen. Jessie Danielson [D] Sen. Thomas Exum [D] S"&amp;"en. Rhonda Fields [D], Sen. Bob Gardner [R] Sen. Joann Ginal [D] Sen. Julie Gonzales [D] Sen. Sonya Jaquez Lewis [D], Sen. Barbara Kirkmeyer [R] Sen. Larry Liston [R] Sen. Paul Lundeen [R] Sen. Kyle Mullica [D], Sen. Byron Pelton [R] Sen. Rod Pelton [R] S"&amp;"en. Kevin Priola [D] Sen. Dylan Roberts [D], Sen. Cleave Simpson [R] Sen. Jim Smallwood [R] Sen. Perry Will [R] Sen. Faith Winter [D], Rep. Ryan Armagost [R] Rep. Jennifer Bacon [D] Rep. Shannon Bird [D] Rep. Andrew Boesenecker [D], Rep. Kyle Brown [D] Re"&amp;"p. Ruby Dickson [D] Rep. Monica Duran [D] Rep. Regina English [D], Rep. Meg Froelich [D] Rep. Lorena Garcia [D] Sen. Iman Jodeh [D] Rep. Junie Joseph [D], Rep. Mandy Lindsay [D] Rep. Meghan Lukens [D] Rep. Michael Lynch [R] Rep. Bob Marshall [D], Rep. Jul"&amp;"ie McCluskie [D] Rep. Karen McCormick [D] Rep. Barbara McLachlan [D] Sen. Dafna Michaelson Jenet [D], Rep. David Ortiz [D] Rep. Jennifer Parenti [D] Rep. Naquetta Ricks [D] Rep. Said Sharbini [D], Sen. Marc Snyder [D] Rep. Tammy Story [D] Rep. Brianna Tit"&amp;"one [D] Rep. Alex Valdez [D], Rep. Elizabeth Velasco [D] Sen. Michael Weissman [D] Rep. Jenny Willford [D] Rep. Steven Woodrow [D], Rep. Mary Young [D]")</f>
        <v>Sen. Janice Marchman [D] Sen. Janice Rich [R] Rep. Eliza Hamrick [D] Rep. Richard Holtorf [R], Sen. Mark Baisley [R] Sen. Jeff Bridges [D] Sen. Janet Buckner [D] Sen. James Coleman [D], Sen. Lisa Cutter [D] Sen. Jessie Danielson [D] Sen. Thomas Exum [D] Sen. Rhonda Fields [D], Sen. Bob Gardner [R] Sen. Joann Ginal [D] Sen. Julie Gonzales [D] Sen. Sonya Jaquez Lewis [D], Sen. Barbara Kirkmeyer [R] Sen. Larry Liston [R] Sen. Paul Lundeen [R] Sen. Kyle Mullica [D], Sen. Byron Pelton [R] Sen. Rod Pelton [R] Sen. Kevin Priola [D] Sen. Dylan Roberts [D], Sen. Cleave Simpson [R] Sen. Jim Smallwood [R] Sen. Perry Will [R] Sen. Faith Winter [D], Rep. Ryan Armagost [R] Rep. Jennifer Bacon [D] Rep. Shannon Bird [D] Rep. Andrew Boesenecker [D], Rep. Kyle Brown [D] Rep. Ruby Dickson [D] Rep. Monica Duran [D] Rep. Regina English [D], Rep. Meg Froelich [D] Rep. Lorena Garcia [D] Sen. Iman Jodeh [D] Rep. Junie Joseph [D], Rep. Mandy Lindsay [D] Rep. Meghan Lukens [D] Rep. Michael Lynch [R] Rep. Bob Marshall [D], Rep. Julie McCluskie [D] Rep. Karen McCormick [D] Rep. Barbara McLachlan [D] Sen. Dafna Michaelson Jenet [D], Rep. David Ortiz [D] Rep. Jennifer Parenti [D] Rep. Naquetta Ricks [D] Rep. Said Sharbini [D], Sen. Marc Snyder [D] Rep. Tammy Story [D] Rep. Brianna Titone [D] Rep. Alex Valdez [D], Rep. Elizabeth Velasco [D] Sen. Michael Weissman [D] Rep. Jenny Willford [D] Rep. Steven Woodrow [D], Rep. Mary Young [D]</v>
      </c>
      <c r="H57" s="6">
        <f t="shared" si="11"/>
        <v>61</v>
      </c>
      <c r="I57" s="5">
        <v>32.0</v>
      </c>
      <c r="J57" s="5">
        <v>28.0</v>
      </c>
      <c r="K57" s="5">
        <v>1.0</v>
      </c>
      <c r="L57" s="6">
        <f t="shared" si="12"/>
        <v>0.5245901639</v>
      </c>
      <c r="M57" s="5">
        <v>43.0</v>
      </c>
      <c r="N57" s="5">
        <v>8.0</v>
      </c>
      <c r="O57" s="5">
        <v>7.0</v>
      </c>
      <c r="P57" s="5">
        <v>0.0</v>
      </c>
      <c r="Q57" s="5">
        <v>0.0</v>
      </c>
      <c r="R57" s="5">
        <v>0.0</v>
      </c>
      <c r="S57" s="5">
        <v>3.0</v>
      </c>
      <c r="T57" s="6">
        <f t="shared" si="13"/>
        <v>0.2950819672</v>
      </c>
      <c r="U57" s="5">
        <f t="shared" si="14"/>
        <v>47</v>
      </c>
      <c r="V57" s="5">
        <f t="shared" si="18"/>
        <v>14</v>
      </c>
      <c r="W57" s="5">
        <f t="shared" si="19"/>
        <v>0</v>
      </c>
      <c r="X57" s="6">
        <f t="shared" si="17"/>
        <v>0.7704918033</v>
      </c>
    </row>
    <row r="58">
      <c r="A58" s="3" t="s">
        <v>59</v>
      </c>
      <c r="B58" s="3">
        <v>2023.0</v>
      </c>
      <c r="C58" s="3" t="s">
        <v>95</v>
      </c>
      <c r="D58" s="4" t="s">
        <v>181</v>
      </c>
      <c r="E58" s="3" t="s">
        <v>183</v>
      </c>
      <c r="F58" s="5" t="s">
        <v>182</v>
      </c>
      <c r="G58" s="5" t="str">
        <f>IFERROR(__xludf.DUMMYFUNCTION("""COMPUTED_VALUE"""),"Sen. Melissa Wiklund [D]")</f>
        <v>Sen. Melissa Wiklund [D]</v>
      </c>
      <c r="H58" s="6">
        <f t="shared" si="11"/>
        <v>1</v>
      </c>
      <c r="I58" s="5">
        <v>1.0</v>
      </c>
      <c r="J58" s="5">
        <v>0.0</v>
      </c>
      <c r="K58" s="5">
        <v>0.0</v>
      </c>
      <c r="L58" s="6">
        <f t="shared" si="12"/>
        <v>1</v>
      </c>
      <c r="M58" s="5">
        <v>1.0</v>
      </c>
      <c r="N58" s="5">
        <v>0.0</v>
      </c>
      <c r="O58" s="5">
        <v>0.0</v>
      </c>
      <c r="P58" s="5">
        <v>0.0</v>
      </c>
      <c r="Q58" s="5">
        <v>0.0</v>
      </c>
      <c r="R58" s="5">
        <v>0.0</v>
      </c>
      <c r="S58" s="5">
        <v>0.0</v>
      </c>
      <c r="T58" s="6">
        <f t="shared" si="13"/>
        <v>0</v>
      </c>
      <c r="U58" s="5">
        <f t="shared" si="14"/>
        <v>1</v>
      </c>
      <c r="V58" s="5">
        <f t="shared" si="18"/>
        <v>0</v>
      </c>
      <c r="W58" s="5">
        <f t="shared" si="19"/>
        <v>0</v>
      </c>
      <c r="X58" s="6">
        <f t="shared" si="17"/>
        <v>1</v>
      </c>
    </row>
    <row r="59">
      <c r="A59" s="3" t="s">
        <v>156</v>
      </c>
      <c r="B59" s="3">
        <v>2023.0</v>
      </c>
      <c r="C59" s="3" t="s">
        <v>95</v>
      </c>
      <c r="D59" s="4" t="s">
        <v>31</v>
      </c>
      <c r="E59" s="3" t="s">
        <v>99</v>
      </c>
      <c r="F59" s="5" t="s">
        <v>165</v>
      </c>
      <c r="G59" s="5" t="str">
        <f>IFERROR(__xludf.DUMMYFUNCTION("""COMPUTED_VALUE"""),"Rep. Alice Buckley [D]")</f>
        <v>Rep. Alice Buckley [D]</v>
      </c>
      <c r="H59" s="6">
        <f t="shared" si="11"/>
        <v>1</v>
      </c>
      <c r="I59" s="5">
        <v>1.0</v>
      </c>
      <c r="J59" s="5">
        <v>0.0</v>
      </c>
      <c r="K59" s="5">
        <v>0.0</v>
      </c>
      <c r="L59" s="6">
        <f t="shared" si="12"/>
        <v>1</v>
      </c>
      <c r="M59" s="5">
        <v>1.0</v>
      </c>
      <c r="N59" s="5">
        <v>0.0</v>
      </c>
      <c r="O59" s="5">
        <v>0.0</v>
      </c>
      <c r="P59" s="5">
        <v>0.0</v>
      </c>
      <c r="Q59" s="5">
        <v>0.0</v>
      </c>
      <c r="R59" s="5">
        <v>0.0</v>
      </c>
      <c r="S59" s="5">
        <v>0.0</v>
      </c>
      <c r="T59" s="6">
        <f t="shared" si="13"/>
        <v>0</v>
      </c>
      <c r="U59" s="5">
        <f t="shared" si="14"/>
        <v>1</v>
      </c>
      <c r="V59" s="5">
        <f t="shared" si="18"/>
        <v>0</v>
      </c>
      <c r="W59" s="5">
        <f t="shared" si="19"/>
        <v>0</v>
      </c>
      <c r="X59" s="6">
        <f t="shared" si="17"/>
        <v>1</v>
      </c>
    </row>
    <row r="60">
      <c r="A60" s="3" t="s">
        <v>131</v>
      </c>
      <c r="B60" s="3">
        <v>2023.0</v>
      </c>
      <c r="C60" s="3" t="s">
        <v>95</v>
      </c>
      <c r="D60" s="4" t="s">
        <v>184</v>
      </c>
      <c r="E60" s="3" t="s">
        <v>183</v>
      </c>
      <c r="F60" s="5" t="s">
        <v>185</v>
      </c>
      <c r="G60" s="5" t="str">
        <f>IFERROR(__xludf.DUMMYFUNCTION("""COMPUTED_VALUE"""),"Sen. Melanie Scheible [D], Sen. Dallas Harris [D], Sen. Patricia Spearman [D], Sen. Nicole Cannizzaro [D], Sen. Heidi Gansert [R], Sen. Richard Daly [D], Sen. Fabian Donate [D], Sen. Marilyn Dondero Loop [D], Sen. Edgar Flores [D], Sen. Pete Goicoechea [R"&amp;"], Sen. Ira Hansen [R], Sen. Lisa Krasner [R], Sen. Dina Neal [D], Sen. Rochelle Nguyen [D], Sen. James Ohrenschall [D], Sen. Julie Pazina [D], Sen. Jeff Stone [R]")</f>
        <v>Sen. Melanie Scheible [D], Sen. Dallas Harris [D], Sen. Patricia Spearman [D], Sen. Nicole Cannizzaro [D], Sen. Heidi Gansert [R], Sen. Richard Daly [D], Sen. Fabian Donate [D], Sen. Marilyn Dondero Loop [D], Sen. Edgar Flores [D], Sen. Pete Goicoechea [R], Sen. Ira Hansen [R], Sen. Lisa Krasner [R], Sen. Dina Neal [D], Sen. Rochelle Nguyen [D], Sen. James Ohrenschall [D], Sen. Julie Pazina [D], Sen. Jeff Stone [R]</v>
      </c>
      <c r="H60" s="6">
        <f t="shared" si="11"/>
        <v>17</v>
      </c>
      <c r="I60" s="5">
        <v>10.0</v>
      </c>
      <c r="J60" s="5">
        <v>7.0</v>
      </c>
      <c r="K60" s="5">
        <v>0.0</v>
      </c>
      <c r="L60" s="6">
        <f t="shared" si="12"/>
        <v>0.5882352941</v>
      </c>
      <c r="M60" s="5">
        <v>11.0</v>
      </c>
      <c r="N60" s="5">
        <v>3.0</v>
      </c>
      <c r="O60" s="5">
        <v>2.0</v>
      </c>
      <c r="P60" s="5">
        <v>1.0</v>
      </c>
      <c r="Q60" s="5">
        <v>0.0</v>
      </c>
      <c r="R60" s="5">
        <v>0.0</v>
      </c>
      <c r="S60" s="5">
        <v>0.0</v>
      </c>
      <c r="T60" s="6">
        <f t="shared" si="13"/>
        <v>0.3529411765</v>
      </c>
      <c r="U60" s="5">
        <f t="shared" si="14"/>
        <v>12</v>
      </c>
      <c r="V60" s="5">
        <f t="shared" si="18"/>
        <v>5</v>
      </c>
      <c r="W60" s="5">
        <f t="shared" si="19"/>
        <v>0</v>
      </c>
      <c r="X60" s="6">
        <f t="shared" si="17"/>
        <v>0.7058823529</v>
      </c>
    </row>
    <row r="61">
      <c r="A61" s="3" t="s">
        <v>159</v>
      </c>
      <c r="B61" s="3">
        <v>2023.0</v>
      </c>
      <c r="C61" s="3" t="s">
        <v>95</v>
      </c>
      <c r="D61" s="4" t="s">
        <v>186</v>
      </c>
      <c r="E61" s="3" t="s">
        <v>99</v>
      </c>
      <c r="F61" s="5" t="s">
        <v>169</v>
      </c>
      <c r="G61" s="5" t="str">
        <f>IFERROR(__xludf.DUMMYFUNCTION("""COMPUTED_VALUE"""),"Rep. Claudia Ordaz Perez [D], Rep. Shelby Slawson [R], Rep. James Frank [R], Rep. Toni Rose [D], Rep. Donna Howard [D], Rep. Alma Allen [D], Rep. Rafael Anchia [D], Rep. Ernest Bailes [R], Rep. Diego Bernal [D], Rep. Ben Bumgarner [R], Rep. Angie Button ["&amp;"R], Rep. Elizabeth Campos [D], Rep. Nicole Collier [D], Rep. David Cook [R], Rep. Philip Cortez [D], Rep. Drew Darby [R], Rep. Maria Flores [D], Rep. Frederick Frazier [R], Rep. Erin Gamez [D], Rep. Josey Garcia [D], Rep. Gary Gates [R], Rep. Jessica Gonz"&amp;"alez [D], Rep. Vikki Goodwin [D], Rep. Ryan Guillen [R], Rep. Caroline Harris Davila [R], Rep. Ana Hernandez [D], Rep. Gina Hinojosa [D], Rep. Carrie Isaac [R], Rep. Jacey Jetton [R], Rep. Ann Johnson [D], Rep. Jarvis Johnson [D], Rep. Julie Johnson [D], "&amp;"Rep. Venton Jones [D], Rep. Suleman Lalani [D], Rep. Stan Lambert [R], Rep. Jeff Leach [R], Rep. Janie Lopez [R], Rep. Ray Lopez [D], Rep. John Lujan [R], Rep. Christian Manuel [D], Rep. Terry Meza [D], Rep. Penny Morales Shaw [D], Rep. Christina Morales "&amp;"[D], Rep. Eddie Morales [D], Rep. Geanie Morrison [R], Rep. Victoria Neave Criado [D], Rep. Tom Oliverson [R], Rep. Angelia Orr [R], Rep. Lina Ortega [D], Rep. Jared Patterson [R], Rep. Mary Perez [D], Rep. Mihaela Plesa [D], Rep. Ana-Maria Rodriguez Ramo"&amp;"s [D], Rep. John Raney [R], Rep. Ramon Romero [D], Rep. Hugh Shine [R], Rep. Reggie Smith [R], Rep. Kronda Thimesch [R], Rep. Ellen Troxclair [R], Rep. Chris Turner [D], Rep. Hubert Vo [D], Rep. Armando Walle [D], Rep. Eugene Wu [D], Rep. Erin Zwiener [D]"&amp;", Sen. Angela Paxton [R], Sen. Carol Alvarado [D], Sen. Cesar Blanco [D], Sen. Sarah Eckhardt [D], Sen. Juan Hinojosa [D], Sen. Joan Huffman [R], Sen. Morgan LaMantia [D], Sen. Royce West [D]")</f>
        <v>Rep. Claudia Ordaz Perez [D], Rep. Shelby Slawson [R], Rep. James Frank [R], Rep. Toni Rose [D], Rep. Donna Howard [D], Rep. Alma Allen [D], Rep. Rafael Anchia [D], Rep. Ernest Bailes [R], Rep. Diego Bernal [D], Rep. Ben Bumgarner [R], Rep. Angie Button [R], Rep. Elizabeth Campos [D], Rep. Nicole Collier [D], Rep. David Cook [R], Rep. Philip Cortez [D], Rep. Drew Darby [R], Rep. Maria Flores [D], Rep. Frederick Frazier [R], Rep. Erin Gamez [D], Rep. Josey Garcia [D], Rep. Gary Gates [R], Rep. Jessica Gonzalez [D], Rep. Vikki Goodwin [D], Rep. Ryan Guillen [R], Rep. Caroline Harris Davila [R], Rep. Ana Hernandez [D], Rep. Gina Hinojosa [D], Rep. Carrie Isaac [R], Rep. Jacey Jetton [R], Rep. Ann Johnson [D], Rep. Jarvis Johnson [D], Rep. Julie Johnson [D], Rep. Venton Jones [D], Rep. Suleman Lalani [D], Rep. Stan Lambert [R], Rep. Jeff Leach [R], Rep. Janie Lopez [R], Rep. Ray Lopez [D], Rep. John Lujan [R], Rep. Christian Manuel [D], Rep. Terry Meza [D], Rep. Penny Morales Shaw [D], Rep. Christina Morales [D], Rep. Eddie Morales [D], Rep. Geanie Morrison [R], Rep. Victoria Neave Criado [D], Rep. Tom Oliverson [R], Rep. Angelia Orr [R], Rep. Lina Ortega [D], Rep. Jared Patterson [R], Rep. Mary Perez [D], Rep. Mihaela Plesa [D], Rep. Ana-Maria Rodriguez Ramos [D], Rep. John Raney [R], Rep. Ramon Romero [D], Rep. Hugh Shine [R], Rep. Reggie Smith [R], Rep. Kronda Thimesch [R], Rep. Ellen Troxclair [R], Rep. Chris Turner [D], Rep. Hubert Vo [D], Rep. Armando Walle [D], Rep. Eugene Wu [D], Rep. Erin Zwiener [D], Sen. Angela Paxton [R], Sen. Carol Alvarado [D], Sen. Cesar Blanco [D], Sen. Sarah Eckhardt [D], Sen. Juan Hinojosa [D], Sen. Joan Huffman [R], Sen. Morgan LaMantia [D], Sen. Royce West [D]</v>
      </c>
      <c r="H61" s="6">
        <f t="shared" si="11"/>
        <v>72</v>
      </c>
      <c r="I61" s="5">
        <v>37.0</v>
      </c>
      <c r="J61" s="5">
        <v>35.0</v>
      </c>
      <c r="K61" s="5">
        <v>0.0</v>
      </c>
      <c r="L61" s="6">
        <f t="shared" si="12"/>
        <v>0.5138888889</v>
      </c>
      <c r="M61" s="5">
        <v>35.0</v>
      </c>
      <c r="N61" s="5">
        <v>7.0</v>
      </c>
      <c r="O61" s="5">
        <v>26.0</v>
      </c>
      <c r="P61" s="5">
        <v>4.0</v>
      </c>
      <c r="Q61" s="5">
        <v>0.0</v>
      </c>
      <c r="R61" s="5">
        <v>0.0</v>
      </c>
      <c r="S61" s="5">
        <v>0.0</v>
      </c>
      <c r="T61" s="6">
        <f t="shared" si="13"/>
        <v>0.5138888889</v>
      </c>
      <c r="U61" s="7">
        <f t="shared" si="14"/>
        <v>44</v>
      </c>
      <c r="V61" s="7">
        <f t="shared" si="18"/>
        <v>28</v>
      </c>
      <c r="W61" s="7">
        <f t="shared" si="19"/>
        <v>0</v>
      </c>
      <c r="X61" s="6">
        <f t="shared" si="17"/>
        <v>0.6111111111</v>
      </c>
    </row>
    <row r="62">
      <c r="A62" s="3" t="s">
        <v>100</v>
      </c>
      <c r="B62" s="3">
        <v>2023.0</v>
      </c>
      <c r="C62" s="3" t="s">
        <v>187</v>
      </c>
      <c r="D62" s="4" t="s">
        <v>172</v>
      </c>
      <c r="E62" s="7" t="s">
        <v>188</v>
      </c>
      <c r="F62" s="5" t="s">
        <v>174</v>
      </c>
      <c r="G62" s="5" t="str">
        <f>IFERROR(__xludf.DUMMYFUNCTION("""COMPUTED_VALUE"""),"Sen. Lisa Cutter [D], Sen. Dominick Moreno [D], Rep. Lorena Garcia [D], Sen. Dafna Michaelson Jenet [D], Sen. Julie Gonzales [D], Sen. Sonya Jaquez Lewis [D], Sen. Janice Marchman [D], Sen. Faith Winter [D], Rep. Elisabeth Epps [D], Rep. Meg Froelich [D],"&amp;" Rep. Karen McCormick [D], Rep. Brianna Titone [D], Sen. Janet Buckner [D], Sen. James Coleman [D], Sen. Jessie Danielson [D], Sen. Steve Fenberg [D], Sen. Rhonda Fields [D], Sen. Joann Ginal [D], Sen. Nick Hinrichsen [D], Sen. Kyle Mullica [D], Sen. Tom "&amp;"Sullivan [D], Sen. Judith Amabile [D], Rep. Jennifer Bacon [D], Rep. Shannon Bird [D], Rep. Andrew Boesenecker [D], Rep. Kyle Brown [D], Sen. Lindsey Daugherty [D], Rep. Ruby Dickson [D], Rep. Monica Duran [D], Rep. Serena Gonzales-Gutierrez [D], Rep. Eli"&amp;"za Hamrick [D], Sen. Iman Jodeh [D], Rep. Junie Joseph [D], Sen. Cathy Kipp [D], Rep. Sheila Lieder [D], Rep. Mandy Lindsay [D], Rep. William Lindstedt [D], Rep. Meghan Lukens [D], Rep. Javier Mabrey [D], Rep. Julie McCluskie [D], Rep. Barbara McLachlan ["&amp;"D], Rep. David Ortiz [D], Rep. Jennifer Parenti [D], Rep. Naquetta Ricks [D], Rep. Said Sharbini [D], Rep. Emily Sirota [D], Sen. Marc Snyder [D], Rep. Tammy Story [D], Rep. Elizabeth Velasco [D], Rep. Stephanie Vigil [D], Rep. Jenny Willford [D], Rep. St"&amp;"even Woodrow [D], Rep. Mary Young [D], Rep. Chris Kennedy [D]")</f>
        <v>Sen. Lisa Cutter [D], Sen. Dominick Moreno [D], Rep. Lorena Garcia [D], Sen. Dafna Michaelson Jenet [D], Sen. Julie Gonzales [D], Sen. Sonya Jaquez Lewis [D], Sen. Janice Marchman [D], Sen. Faith Winter [D], Rep. Elisabeth Epps [D], Rep. Meg Froelich [D], Rep. Karen McCormick [D], Rep. Brianna Titone [D], Sen. Janet Buckner [D], Sen. James Coleman [D], Sen. Jessie Danielson [D], Sen. Steve Fenberg [D], Sen. Rhonda Fields [D], Sen. Joann Ginal [D], Sen. Nick Hinrichsen [D], Sen. Kyle Mullica [D], Sen. Tom Sullivan [D], Sen. Judith Amabile [D], Rep. Jennifer Bacon [D], Rep. Shannon Bird [D], Rep. Andrew Boesenecker [D], Rep. Kyle Brown [D], Sen. Lindsey Daugherty [D], Rep. Ruby Dickson [D], Rep. Monica Duran [D], Rep. Serena Gonzales-Gutierrez [D], Rep. Eliza Hamrick [D], Sen. Iman Jodeh [D], Rep. Junie Joseph [D], Sen. Cathy Kipp [D], Rep. Sheila Lieder [D], Rep. Mandy Lindsay [D], Rep. William Lindstedt [D], Rep. Meghan Lukens [D], Rep. Javier Mabrey [D], Rep. Julie McCluskie [D], Rep. Barbara McLachlan [D], Rep. David Ortiz [D], Rep. Jennifer Parenti [D], Rep. Naquetta Ricks [D], Rep. Said Sharbini [D], Rep. Emily Sirota [D], Sen. Marc Snyder [D], Rep. Tammy Story [D], Rep. Elizabeth Velasco [D], Rep. Stephanie Vigil [D], Rep. Jenny Willford [D], Rep. Steven Woodrow [D], Rep. Mary Young [D], Rep. Chris Kennedy [D]</v>
      </c>
      <c r="H62" s="6">
        <f t="shared" si="11"/>
        <v>54</v>
      </c>
      <c r="I62" s="5">
        <v>37.0</v>
      </c>
      <c r="J62" s="5">
        <v>16.0</v>
      </c>
      <c r="K62" s="5">
        <v>1.0</v>
      </c>
      <c r="L62" s="6">
        <f t="shared" si="12"/>
        <v>0.6851851852</v>
      </c>
      <c r="M62" s="11">
        <v>36.0</v>
      </c>
      <c r="N62" s="11">
        <v>7.0</v>
      </c>
      <c r="O62" s="11">
        <v>8.0</v>
      </c>
      <c r="P62" s="11">
        <v>0.0</v>
      </c>
      <c r="Q62" s="11">
        <v>0.0</v>
      </c>
      <c r="R62" s="11">
        <v>0.0</v>
      </c>
      <c r="S62" s="11">
        <v>3.0</v>
      </c>
      <c r="T62" s="6">
        <f t="shared" si="13"/>
        <v>0.3333333333</v>
      </c>
      <c r="U62" s="5">
        <f t="shared" si="14"/>
        <v>54</v>
      </c>
      <c r="V62" s="5">
        <f t="shared" si="18"/>
        <v>0</v>
      </c>
      <c r="W62" s="5">
        <f t="shared" si="19"/>
        <v>0</v>
      </c>
      <c r="X62" s="6">
        <f t="shared" si="17"/>
        <v>1</v>
      </c>
    </row>
    <row r="63">
      <c r="A63" s="3" t="s">
        <v>189</v>
      </c>
      <c r="B63" s="3">
        <v>2023.0</v>
      </c>
      <c r="C63" s="3" t="s">
        <v>187</v>
      </c>
      <c r="D63" s="4" t="s">
        <v>190</v>
      </c>
      <c r="E63" s="7" t="s">
        <v>191</v>
      </c>
      <c r="F63" s="5" t="s">
        <v>192</v>
      </c>
      <c r="G63" s="5" t="str">
        <f>IFERROR(__xludf.DUMMYFUNCTION("""COMPUTED_VALUE"""),"Sen. Nellie Pou [D], Sen. Nicholas Scutari [D], Rep. Mila Jasey [D], Sen. Teresa Ruiz [D], Sen. Troy Singleton [D]")</f>
        <v>Sen. Nellie Pou [D], Sen. Nicholas Scutari [D], Rep. Mila Jasey [D], Sen. Teresa Ruiz [D], Sen. Troy Singleton [D]</v>
      </c>
      <c r="H63" s="6">
        <f t="shared" si="11"/>
        <v>5</v>
      </c>
      <c r="I63" s="5">
        <v>3.0</v>
      </c>
      <c r="J63" s="5">
        <v>2.0</v>
      </c>
      <c r="K63" s="5">
        <v>0.0</v>
      </c>
      <c r="L63" s="6">
        <f t="shared" si="12"/>
        <v>0.6</v>
      </c>
      <c r="M63" s="5">
        <v>3.0</v>
      </c>
      <c r="N63" s="5">
        <v>1.0</v>
      </c>
      <c r="O63" s="5">
        <v>1.0</v>
      </c>
      <c r="P63" s="5">
        <v>0.0</v>
      </c>
      <c r="Q63" s="5">
        <v>0.0</v>
      </c>
      <c r="R63" s="5">
        <v>0.0</v>
      </c>
      <c r="S63" s="5">
        <v>0.0</v>
      </c>
      <c r="T63" s="6">
        <f t="shared" si="13"/>
        <v>0.4</v>
      </c>
      <c r="U63" s="5">
        <f t="shared" si="14"/>
        <v>5</v>
      </c>
      <c r="V63" s="5">
        <f t="shared" si="18"/>
        <v>0</v>
      </c>
      <c r="W63" s="5">
        <f t="shared" si="19"/>
        <v>0</v>
      </c>
      <c r="X63" s="6">
        <f t="shared" si="17"/>
        <v>1</v>
      </c>
    </row>
    <row r="64">
      <c r="A64" s="3" t="s">
        <v>62</v>
      </c>
      <c r="B64" s="3">
        <v>2023.0</v>
      </c>
      <c r="C64" s="3" t="s">
        <v>187</v>
      </c>
      <c r="D64" s="4" t="s">
        <v>193</v>
      </c>
      <c r="E64" s="4" t="s">
        <v>194</v>
      </c>
      <c r="F64" s="5" t="s">
        <v>195</v>
      </c>
      <c r="G64" s="6" t="str">
        <f>IFERROR(__xludf.DUMMYFUNCTION("""COMPUTED_VALUE"""),"Helene Weinstein, Philip Ramos, John T. McDonald III, J. Gary Pretlow, Nily Rozic, Latoya Joyner, Rebecca Seawright, Jo Anne Simon, Latrice Walker, David Weprin, William Magnarelli, Alicia Hyndman, Jeffrion Aubry, William Colton, Michael Benedetto, Rodney"&amp;"se Bichotte Hermelyn, Edward Braunstein, Harry Bronson, Vivian Cook, Catalina Cruz, Erik Dilan, Jeffrey Dinowitz, Deborah Glick, Brian Manktelow, Michael J. Norris, Philip Palmesano, Edward Ra, Robert Smullen, Mary Beth Walsh, Kenneth Blankenbush, Karl Br"&amp;"abenec, Stephen Hawley, Joseph DeStefano, Michael Fitzpatrick")</f>
        <v>Helene Weinstein, Philip Ramos, John T. McDonald III, J. Gary Pretlow, Nily Rozic, Latoya Joyner, Rebecca Seawright, Jo Anne Simon, Latrice Walker, David Weprin, William Magnarelli, Alicia Hyndman, Jeffrion Aubry, William Colton, Michael Benedetto, Rodneyse Bichotte Hermelyn, Edward Braunstein, Harry Bronson, Vivian Cook, Catalina Cruz, Erik Dilan, Jeffrey Dinowitz, Deborah Glick, Brian Manktelow, Michael J. Norris, Philip Palmesano, Edward Ra, Robert Smullen, Mary Beth Walsh, Kenneth Blankenbush, Karl Brabenec, Stephen Hawley, Joseph DeStefano, Michael Fitzpatrick</v>
      </c>
      <c r="H64" s="6">
        <f t="shared" si="11"/>
        <v>34</v>
      </c>
      <c r="I64" s="5">
        <v>12.0</v>
      </c>
      <c r="J64" s="5">
        <v>22.0</v>
      </c>
      <c r="K64" s="5">
        <v>0.0</v>
      </c>
      <c r="L64" s="6">
        <f t="shared" si="12"/>
        <v>0.3529411765</v>
      </c>
      <c r="M64" s="5">
        <v>29.0</v>
      </c>
      <c r="N64" s="5">
        <v>10.0</v>
      </c>
      <c r="O64" s="5">
        <v>3.0</v>
      </c>
      <c r="P64" s="5">
        <v>0.0</v>
      </c>
      <c r="Q64" s="5">
        <v>0.0</v>
      </c>
      <c r="R64" s="5">
        <v>0.0</v>
      </c>
      <c r="S64" s="5">
        <v>0.0</v>
      </c>
      <c r="T64" s="6">
        <f t="shared" si="13"/>
        <v>0.3823529412</v>
      </c>
      <c r="U64" s="5">
        <v>23.0</v>
      </c>
      <c r="V64" s="5">
        <v>11.0</v>
      </c>
      <c r="W64" s="5">
        <v>0.0</v>
      </c>
      <c r="X64" s="6">
        <f t="shared" si="17"/>
        <v>0.6764705882</v>
      </c>
    </row>
    <row r="65">
      <c r="A65" s="3" t="s">
        <v>138</v>
      </c>
      <c r="B65" s="3">
        <v>2023.0</v>
      </c>
      <c r="C65" s="3" t="s">
        <v>187</v>
      </c>
      <c r="D65" s="4" t="s">
        <v>139</v>
      </c>
      <c r="E65" s="7" t="s">
        <v>196</v>
      </c>
      <c r="F65" s="5" t="s">
        <v>140</v>
      </c>
      <c r="G65" s="6" t="str">
        <f>IFERROR(__xludf.DUMMYFUNCTION("""COMPUTED_VALUE"""),"Sen. Virginia Lyons [D], Sen. Ruth Hardy [D], Sen. Alison Clarkson [D], Sen. Kesha Ram Hinsdale [D], Sen. Philip Baruth [D], Sen. Christopher Bray [D], Sen. Brian Campion [D], Sen. Thomas Chittenden [D], Sen. Ann Cummings [D], Sen. Martine Gulick [D], Sen"&amp;". Wendy Harrison [D], Sen. Nader Hashim [D], Sen. Jane Kitchel [D], Sen. Richard McCormack [D], Sen. Andrew Perchlik [D], Sen. Richard Sears [D], Sen. Tanya Vyhovsky [D], Sen. Anne Watson [D], Sen. Rebecca White [D], Sen. Irene Wrenner [D]")</f>
        <v>Sen. Virginia Lyons [D], Sen. Ruth Hardy [D], Sen. Alison Clarkson [D], Sen. Kesha Ram Hinsdale [D], Sen. Philip Baruth [D], Sen. Christopher Bray [D], Sen. Brian Campion [D], Sen. Thomas Chittenden [D], Sen. Ann Cummings [D], Sen. Martine Gulick [D], Sen. Wendy Harrison [D], Sen. Nader Hashim [D], Sen. Jane Kitchel [D], Sen. Richard McCormack [D], Sen. Andrew Perchlik [D], Sen. Richard Sears [D], Sen. Tanya Vyhovsky [D], Sen. Anne Watson [D], Sen. Rebecca White [D], Sen. Irene Wrenner [D]</v>
      </c>
      <c r="H65" s="6">
        <f t="shared" si="11"/>
        <v>20</v>
      </c>
      <c r="I65" s="5">
        <v>12.0</v>
      </c>
      <c r="J65" s="5">
        <v>8.0</v>
      </c>
      <c r="K65" s="5">
        <v>0.0</v>
      </c>
      <c r="L65" s="6">
        <f t="shared" si="12"/>
        <v>0.6</v>
      </c>
      <c r="M65" s="5">
        <v>18.0</v>
      </c>
      <c r="N65" s="5">
        <v>0.0</v>
      </c>
      <c r="O65" s="5">
        <v>0.0</v>
      </c>
      <c r="P65" s="5">
        <v>2.0</v>
      </c>
      <c r="Q65" s="5">
        <v>0.0</v>
      </c>
      <c r="R65" s="5">
        <v>0.0</v>
      </c>
      <c r="S65" s="5">
        <v>0.0</v>
      </c>
      <c r="T65" s="6">
        <f t="shared" si="13"/>
        <v>0.1</v>
      </c>
      <c r="U65" s="7">
        <f t="shared" ref="U65:U78" si="20">IF(G65 = "", "", (LEN(G65) - LEN(SUBSTITUTE(G65, "[D]", ""))) / 3)</f>
        <v>20</v>
      </c>
      <c r="V65" s="7">
        <f t="shared" ref="V65:V78" si="21">IF(G65 = "", "", (LEN(G65) - LEN(SUBSTITUTE(G65, "[R]", ""))) / 3)</f>
        <v>0</v>
      </c>
      <c r="W65" s="7">
        <f t="shared" ref="W65:W78" si="22">IF(G65 = "", "", (LEN(G65) - LEN(SUBSTITUTE(G65, "[I]", ""))) / 3)</f>
        <v>0</v>
      </c>
      <c r="X65" s="6">
        <f t="shared" si="17"/>
        <v>1</v>
      </c>
    </row>
    <row r="66">
      <c r="A66" s="3" t="s">
        <v>56</v>
      </c>
      <c r="B66" s="3">
        <v>2022.0</v>
      </c>
      <c r="C66" s="3" t="s">
        <v>197</v>
      </c>
      <c r="D66" s="4" t="s">
        <v>198</v>
      </c>
      <c r="E66" s="3" t="s">
        <v>199</v>
      </c>
      <c r="F66" s="5" t="s">
        <v>200</v>
      </c>
      <c r="G66" s="5" t="str">
        <f>IFERROR(__xludf.DUMMYFUNCTION("""COMPUTED_VALUE"""),"Sen. Connie Leyva [D], Asm. David Chiu [D], Asm. Cristina Garcia [D], Sen. Lena Gonzalez [D], Sen. Benjamin Hueso [D], Asm. Marc Levine [D], Sen. Josh Newman [D]")</f>
        <v>Sen. Connie Leyva [D], Asm. David Chiu [D], Asm. Cristina Garcia [D], Sen. Lena Gonzalez [D], Sen. Benjamin Hueso [D], Asm. Marc Levine [D], Sen. Josh Newman [D]</v>
      </c>
      <c r="H66" s="6">
        <f t="shared" si="11"/>
        <v>7</v>
      </c>
      <c r="I66" s="5">
        <v>3.0</v>
      </c>
      <c r="J66" s="5">
        <v>4.0</v>
      </c>
      <c r="K66" s="5">
        <v>0.0</v>
      </c>
      <c r="L66" s="6">
        <f t="shared" si="12"/>
        <v>0.4285714286</v>
      </c>
      <c r="M66" s="5">
        <v>3.0</v>
      </c>
      <c r="N66" s="5">
        <v>0.0</v>
      </c>
      <c r="O66" s="5">
        <v>3.0</v>
      </c>
      <c r="P66" s="5">
        <v>1.0</v>
      </c>
      <c r="Q66" s="5">
        <v>0.0</v>
      </c>
      <c r="R66" s="5">
        <v>0.0</v>
      </c>
      <c r="S66" s="5">
        <v>0.0</v>
      </c>
      <c r="T66" s="6">
        <f t="shared" si="13"/>
        <v>0.5714285714</v>
      </c>
      <c r="U66" s="5">
        <f t="shared" si="20"/>
        <v>7</v>
      </c>
      <c r="V66" s="5">
        <f t="shared" si="21"/>
        <v>0</v>
      </c>
      <c r="W66" s="5">
        <f t="shared" si="22"/>
        <v>0</v>
      </c>
      <c r="X66" s="6">
        <f t="shared" si="17"/>
        <v>1</v>
      </c>
    </row>
    <row r="67">
      <c r="A67" s="3" t="s">
        <v>72</v>
      </c>
      <c r="B67" s="3">
        <v>2022.0</v>
      </c>
      <c r="C67" s="3" t="s">
        <v>30</v>
      </c>
      <c r="D67" s="4" t="s">
        <v>201</v>
      </c>
      <c r="E67" s="3" t="s">
        <v>36</v>
      </c>
      <c r="F67" s="5" t="s">
        <v>202</v>
      </c>
      <c r="G67" s="6" t="str">
        <f>IFERROR(__xludf.DUMMYFUNCTION("""COMPUTED_VALUE"""),"Rep. LaShawn Ford [D], Rep. Daniel Swanson [R], Rep. Nicholas Smith [D], Rep. Timothy Butler [R], Rep. Mark Luft [R], Rep. Emanuel Welch [D], Rep. Rita Mayfield [D], Rep. Camille Lilly [D], Rep. Dave Severin [R], Sen. Thomas Bennett [R], Rep. Adam Niemerg"&amp;" [R], Rep. Michael Marron [R], Rep. Patrick Windhorst [R], Rep. Chris Bos [R], Rep. Tom Weber [R], Rep. Blaine Wilhour [R], Rep. Joyce Mason [D], Rep. Lance Yednock [D], Rep. Stephanie Kifowit [D], Sen. Michael Halpin [D], Rep. Justin Slaughter [D], Rep. "&amp;"Mary Flowers [D], Rep. William Davis [D], Rep. Amy Grant [R], Sen. Andrew Chesney [R], Rep. Jaime Andrade [D], Rep. Jennifer Gong-Gershowitz [D], Rep. Ann Williams [D], Rep. Deborah Conroy [D], Rep. Kathleen Willis [D], Rep. Elizabeth Hernandez [D], Rep. "&amp;"Katie Stuart [D], Rep. Latoya Greenwood [D], Rep. Natalie Manley [D], Rep. Frances Hurley [D], Rep. Jonathan Carroll [D], Rep. Maurice West [D], Sen. Lakesia Collins [D], Rep. Cyril Nichols [D], Rep. Anthony DeLuca [D], Rep. Dave Vella [D], Rep. Martin Mo"&amp;"ylan [D], Rep. Aaron Ortiz [D], Rep. Debbie Meyers-Martin [D], Sen. Emil Jones [D], Sen. Napoleon Harris [D], Sen. Adriane Johnson [D], Sen. Cristina Castro [D], Sen. Mattie Hunter [D], Sen. Karina Villa [D], Sen. Patricia Van Pelt [D], Sen. Kimberly Ligh"&amp;"tford [D], Sen. Scott Bennett [D], Sen. Meg Loughran Cappel [D], Sen. Diane Pappas [D], Sen. Mike Simmons [D], Sen. Robert Martwick [D], Sen. Sara Feigenholtz [D]")</f>
        <v>Rep. LaShawn Ford [D], Rep. Daniel Swanson [R], Rep. Nicholas Smith [D], Rep. Timothy Butler [R], Rep. Mark Luft [R], Rep. Emanuel Welch [D], Rep. Rita Mayfield [D], Rep. Camille Lilly [D], Rep. Dave Severin [R], Sen. Thomas Bennett [R], Rep. Adam Niemerg [R], Rep. Michael Marron [R], Rep. Patrick Windhorst [R], Rep. Chris Bos [R], Rep. Tom Weber [R], Rep. Blaine Wilhour [R], Rep. Joyce Mason [D], Rep. Lance Yednock [D], Rep. Stephanie Kifowit [D], Sen. Michael Halpin [D], Rep. Justin Slaughter [D], Rep. Mary Flowers [D], Rep. William Davis [D], Rep. Amy Grant [R], Sen. Andrew Chesney [R], Rep. Jaime Andrade [D], Rep. Jennifer Gong-Gershowitz [D], Rep. Ann Williams [D], Rep. Deborah Conroy [D], Rep. Kathleen Willis [D], Rep. Elizabeth Hernandez [D], Rep. Katie Stuart [D], Rep. Latoya Greenwood [D], Rep. Natalie Manley [D], Rep. Frances Hurley [D], Rep. Jonathan Carroll [D], Rep. Maurice West [D], Sen. Lakesia Collins [D], Rep. Cyril Nichols [D], Rep. Anthony DeLuca [D], Rep. Dave Vella [D], Rep. Martin Moylan [D], Rep. Aaron Ortiz [D], Rep. Debbie Meyers-Martin [D], Sen. Emil Jones [D], Sen. Napoleon Harris [D], Sen. Adriane Johnson [D], Sen. Cristina Castro [D], Sen. Mattie Hunter [D], Sen. Karina Villa [D], Sen. Patricia Van Pelt [D], Sen. Kimberly Lightford [D], Sen. Scott Bennett [D], Sen. Meg Loughran Cappel [D], Sen. Diane Pappas [D], Sen. Mike Simmons [D], Sen. Robert Martwick [D], Sen. Sara Feigenholtz [D]</v>
      </c>
      <c r="H67" s="6">
        <f t="shared" si="11"/>
        <v>58</v>
      </c>
      <c r="I67" s="5">
        <v>26.0</v>
      </c>
      <c r="J67" s="5">
        <v>32.0</v>
      </c>
      <c r="K67" s="5">
        <v>0.0</v>
      </c>
      <c r="L67" s="6">
        <f t="shared" si="12"/>
        <v>0.4482758621</v>
      </c>
      <c r="M67" s="5">
        <v>33.0</v>
      </c>
      <c r="N67" s="5">
        <v>20.0</v>
      </c>
      <c r="O67" s="5">
        <v>4.0</v>
      </c>
      <c r="P67" s="5">
        <v>1.0</v>
      </c>
      <c r="Q67" s="5">
        <v>0.0</v>
      </c>
      <c r="R67" s="5">
        <v>0.0</v>
      </c>
      <c r="S67" s="5">
        <v>0.0</v>
      </c>
      <c r="T67" s="6">
        <f t="shared" si="13"/>
        <v>0.4310344828</v>
      </c>
      <c r="U67" s="5">
        <f t="shared" si="20"/>
        <v>45</v>
      </c>
      <c r="V67" s="5">
        <f t="shared" si="21"/>
        <v>13</v>
      </c>
      <c r="W67" s="5">
        <f t="shared" si="22"/>
        <v>0</v>
      </c>
      <c r="X67" s="6">
        <f t="shared" si="17"/>
        <v>0.775862069</v>
      </c>
    </row>
    <row r="68">
      <c r="A68" s="3" t="s">
        <v>203</v>
      </c>
      <c r="B68" s="3">
        <v>2022.0</v>
      </c>
      <c r="C68" s="3" t="s">
        <v>115</v>
      </c>
      <c r="D68" s="3" t="s">
        <v>204</v>
      </c>
      <c r="E68" s="3" t="s">
        <v>117</v>
      </c>
      <c r="F68" s="5" t="s">
        <v>205</v>
      </c>
      <c r="G68" s="6" t="str">
        <f>IFERROR(__xludf.DUMMYFUNCTION("""COMPUTED_VALUE"""),"Rep. Aaron Johanson [D], Rep. Della au Belatti [D], Rep. Patrick Branco [D], Rep. Ty Cullen [D], Rep. Cedric Gates [D], Sen. Troy Hashimoto [D], Rep. Linda Ichiyama [D], Rep. Greggor Ilagan [D], Rep. Jeanne Kapela [D], Rep. Nicole Lowen [D], Rep. Lisa Mar"&amp;"ten [D], Rep. Scot Matayoshi [D], Rep. Lauren Matsumoto [R], Sen. Angus McKelvey [D], Rep. Daynette Morikawa [D], Rep. Nadine Nakamura [D], Rep. Mark Nakashima [D], Rep. Scott Nishimoto [D], Rep. Richard Onishi [D], Rep. Amy Perruso [D], Rep. Adrian Tam ["&amp;"D], Rep. David Tarnas [D], Rep. Chris Todd [D], Rep. Tina Wildberger [D], Rep. Kyle Yamashita [D]")</f>
        <v>Rep. Aaron Johanson [D], Rep. Della au Belatti [D], Rep. Patrick Branco [D], Rep. Ty Cullen [D], Rep. Cedric Gates [D], Sen. Troy Hashimoto [D], Rep. Linda Ichiyama [D], Rep. Greggor Ilagan [D], Rep. Jeanne Kapela [D], Rep. Nicole Lowen [D], Rep. Lisa Marten [D], Rep. Scot Matayoshi [D], Rep. Lauren Matsumoto [R], Sen. Angus McKelvey [D], Rep. Daynette Morikawa [D], Rep. Nadine Nakamura [D], Rep. Mark Nakashima [D], Rep. Scott Nishimoto [D], Rep. Richard Onishi [D], Rep. Amy Perruso [D], Rep. Adrian Tam [D], Rep. David Tarnas [D], Rep. Chris Todd [D], Rep. Tina Wildberger [D], Rep. Kyle Yamashita [D]</v>
      </c>
      <c r="H68" s="6">
        <f t="shared" si="11"/>
        <v>25</v>
      </c>
      <c r="I68" s="5">
        <v>10.0</v>
      </c>
      <c r="J68" s="5">
        <v>15.0</v>
      </c>
      <c r="K68" s="5">
        <v>0.0</v>
      </c>
      <c r="L68" s="6">
        <f t="shared" si="12"/>
        <v>0.4</v>
      </c>
      <c r="M68" s="5">
        <v>8.0</v>
      </c>
      <c r="N68" s="5">
        <v>1.0</v>
      </c>
      <c r="O68" s="5">
        <v>3.0</v>
      </c>
      <c r="P68" s="5">
        <v>0.0</v>
      </c>
      <c r="Q68" s="5">
        <v>0.0</v>
      </c>
      <c r="R68" s="5">
        <v>13.0</v>
      </c>
      <c r="S68" s="5">
        <v>0.0</v>
      </c>
      <c r="T68" s="6">
        <f t="shared" si="13"/>
        <v>0.68</v>
      </c>
      <c r="U68" s="5">
        <f t="shared" si="20"/>
        <v>24</v>
      </c>
      <c r="V68" s="5">
        <f t="shared" si="21"/>
        <v>1</v>
      </c>
      <c r="W68" s="5">
        <f t="shared" si="22"/>
        <v>0</v>
      </c>
      <c r="X68" s="6">
        <f t="shared" si="17"/>
        <v>0.96</v>
      </c>
    </row>
    <row r="69">
      <c r="A69" s="3" t="s">
        <v>203</v>
      </c>
      <c r="B69" s="3">
        <v>2022.0</v>
      </c>
      <c r="C69" s="3" t="s">
        <v>52</v>
      </c>
      <c r="D69" s="7" t="s">
        <v>204</v>
      </c>
      <c r="E69" s="3" t="s">
        <v>54</v>
      </c>
      <c r="F69" s="5" t="s">
        <v>205</v>
      </c>
      <c r="G69" s="6" t="str">
        <f>IFERROR(__xludf.DUMMYFUNCTION("""COMPUTED_VALUE"""),"Rep. Aaron Johanson [D], Rep. Della au Belatti [D], Rep. Patrick Branco [D], Rep. Ty Cullen [D], Rep. Cedric Gates [D], Sen. Troy Hashimoto [D], Rep. Linda Ichiyama [D], Rep. Greggor Ilagan [D], Rep. Jeanne Kapela [D], Rep. Nicole Lowen [D], Rep. Lisa Mar"&amp;"ten [D], Rep. Scot Matayoshi [D], Rep. Lauren Matsumoto [R], Sen. Angus McKelvey [D], Rep. Daynette Morikawa [D], Rep. Nadine Nakamura [D], Rep. Mark Nakashima [D], Rep. Scott Nishimoto [D], Rep. Richard Onishi [D], Rep. Amy Perruso [D], Rep. Adrian Tam ["&amp;"D], Rep. David Tarnas [D], Rep. Chris Todd [D], Rep. Tina Wildberger [D], Rep. Kyle Yamashita [D]")</f>
        <v>Rep. Aaron Johanson [D], Rep. Della au Belatti [D], Rep. Patrick Branco [D], Rep. Ty Cullen [D], Rep. Cedric Gates [D], Sen. Troy Hashimoto [D], Rep. Linda Ichiyama [D], Rep. Greggor Ilagan [D], Rep. Jeanne Kapela [D], Rep. Nicole Lowen [D], Rep. Lisa Marten [D], Rep. Scot Matayoshi [D], Rep. Lauren Matsumoto [R], Sen. Angus McKelvey [D], Rep. Daynette Morikawa [D], Rep. Nadine Nakamura [D], Rep. Mark Nakashima [D], Rep. Scott Nishimoto [D], Rep. Richard Onishi [D], Rep. Amy Perruso [D], Rep. Adrian Tam [D], Rep. David Tarnas [D], Rep. Chris Todd [D], Rep. Tina Wildberger [D], Rep. Kyle Yamashita [D]</v>
      </c>
      <c r="H69" s="6">
        <f t="shared" si="11"/>
        <v>25</v>
      </c>
      <c r="I69" s="5">
        <v>10.0</v>
      </c>
      <c r="J69" s="5">
        <v>15.0</v>
      </c>
      <c r="K69" s="5">
        <v>0.0</v>
      </c>
      <c r="L69" s="6">
        <f t="shared" si="12"/>
        <v>0.4</v>
      </c>
      <c r="M69" s="5">
        <v>8.0</v>
      </c>
      <c r="N69" s="5">
        <v>1.0</v>
      </c>
      <c r="O69" s="5">
        <v>3.0</v>
      </c>
      <c r="P69" s="5">
        <v>0.0</v>
      </c>
      <c r="Q69" s="5">
        <v>0.0</v>
      </c>
      <c r="R69" s="5">
        <v>13.0</v>
      </c>
      <c r="S69" s="5">
        <v>0.0</v>
      </c>
      <c r="T69" s="6">
        <f t="shared" si="13"/>
        <v>0.68</v>
      </c>
      <c r="U69" s="5">
        <f t="shared" si="20"/>
        <v>24</v>
      </c>
      <c r="V69" s="5">
        <f t="shared" si="21"/>
        <v>1</v>
      </c>
      <c r="W69" s="5">
        <f t="shared" si="22"/>
        <v>0</v>
      </c>
      <c r="X69" s="6">
        <f t="shared" si="17"/>
        <v>0.96</v>
      </c>
    </row>
    <row r="70">
      <c r="A70" s="3" t="s">
        <v>206</v>
      </c>
      <c r="B70" s="3">
        <v>2011.0</v>
      </c>
      <c r="C70" s="3" t="s">
        <v>25</v>
      </c>
      <c r="D70" s="4" t="s">
        <v>207</v>
      </c>
      <c r="E70" s="7" t="s">
        <v>208</v>
      </c>
      <c r="F70" s="5" t="s">
        <v>209</v>
      </c>
      <c r="G70" s="6" t="str">
        <f>IFERROR(__xludf.DUMMYFUNCTION("""COMPUTED_VALUE"""),"Rep. Clark Shultz, Rep. Phil Hermanson, Rep. Bob Grant, Rep. Rick Billinger, Rep. Anthony Brown, Rep. Tom Burroughs, Rep. Paul Davis, Rep. James Fawcett, Rep. TerriLois Gregory, Rep. Steven Johnson, Rep. Robert Montgomery, Rep. Charlotte O'Hara, Rep. Rich"&amp;"ard Proehl")</f>
        <v>Rep. Clark Shultz, Rep. Phil Hermanson, Rep. Bob Grant, Rep. Rick Billinger, Rep. Anthony Brown, Rep. Tom Burroughs, Rep. Paul Davis, Rep. James Fawcett, Rep. TerriLois Gregory, Rep. Steven Johnson, Rep. Robert Montgomery, Rep. Charlotte O'Hara, Rep. Richard Proehl</v>
      </c>
      <c r="H70" s="5">
        <v>13.0</v>
      </c>
      <c r="I70" s="5">
        <v>2.0</v>
      </c>
      <c r="J70" s="5">
        <v>11.0</v>
      </c>
      <c r="K70" s="5">
        <v>0.0</v>
      </c>
      <c r="L70" s="6">
        <f t="shared" si="12"/>
        <v>0.1538461538</v>
      </c>
      <c r="M70" s="5">
        <v>13.0</v>
      </c>
      <c r="N70" s="5">
        <v>0.0</v>
      </c>
      <c r="O70" s="5">
        <v>0.0</v>
      </c>
      <c r="P70" s="5">
        <v>0.0</v>
      </c>
      <c r="Q70" s="5">
        <v>0.0</v>
      </c>
      <c r="R70" s="5">
        <v>0.0</v>
      </c>
      <c r="S70" s="5">
        <v>0.0</v>
      </c>
      <c r="T70" s="6">
        <f t="shared" si="13"/>
        <v>0</v>
      </c>
      <c r="U70" s="5">
        <f t="shared" si="20"/>
        <v>0</v>
      </c>
      <c r="V70" s="5">
        <f t="shared" si="21"/>
        <v>0</v>
      </c>
      <c r="W70" s="5">
        <f t="shared" si="22"/>
        <v>0</v>
      </c>
      <c r="X70" s="6">
        <f t="shared" si="17"/>
        <v>0</v>
      </c>
    </row>
    <row r="71">
      <c r="A71" s="3" t="s">
        <v>100</v>
      </c>
      <c r="B71" s="3">
        <v>2022.0</v>
      </c>
      <c r="C71" s="3" t="s">
        <v>44</v>
      </c>
      <c r="D71" s="4" t="s">
        <v>210</v>
      </c>
      <c r="E71" s="3" t="s">
        <v>46</v>
      </c>
      <c r="F71" s="5" t="s">
        <v>211</v>
      </c>
      <c r="G71" s="6" t="str">
        <f>IFERROR(__xludf.DUMMYFUNCTION("""COMPUTED_VALUE"""),"Rep. Matt Soper [R], Rep. Kerry Tipper [D], Sen. Steve Fenberg [D], Sen. Faith Winter [D], Rep. David Ortiz [D], Sen. Judith Amabile [D], Rep. Jennifer Bacon [D], Rep. Tracey Bernett [D], Rep. Shannon Bird [D], Rep. Andrew Boesenecker [D], Rep. Yadira Car"&amp;"aveo [D], Sen. Lisa Cutter [D], Rep. Daneya Esgar [D], Sen. Thomas Exum [D], Rep. Meg Froelich [D], Rep. Alec Garnett [D], Rep. Serena Gonzales-Gutierrez [D], Rep. Matt Gray [D], Rep. Leslie Herod [D], Rep. Edith Hooton [D], Sen. Iman Jodeh [D], Rep. Chri"&amp;"s Kennedy [D], Rep. Mandy Lindsay [D], Rep. Julie McCluskie [D], Rep. Karen McCormick [D], Rep. Barbara McLachlan [D], Sen. Dafna Michaelson Jenet [D], Sen. Kyle Mullica [D], Rep. Naquetta Ricks [D], Sen. Dylan Roberts [D], Rep. Emily Sirota [D], Sen. Tom"&amp;" Sullivan [D], Rep. Brianna Titone [D], Rep. Donald Valdez [D], Rep. Alex Valdez [D], Sen. Michael Weissman [D], Rep. Mary Young [D], Sen. Janet Buckner [D], Sen. Rhonda Fields [D], Sen. Joann Ginal [D], Sen. Julie Gonzales [D], Sen. Chris Hansen [D], Sen"&amp;". Nick Hinrichsen [D], Sen. Chris Kolker [D], Sen. Dominick Moreno [D], Sen. Brittany Pettersen [D], Sen. Robert Rodriguez [D], Rep. Tammy Story [D], Sen. Rachel Zenzinger [D]")</f>
        <v>Rep. Matt Soper [R], Rep. Kerry Tipper [D], Sen. Steve Fenberg [D], Sen. Faith Winter [D], Rep. David Ortiz [D], Sen. Judith Amabile [D], Rep. Jennifer Bacon [D], Rep. Tracey Bernett [D], Rep. Shannon Bird [D], Rep. Andrew Boesenecker [D], Rep. Yadira Caraveo [D], Sen. Lisa Cutter [D], Rep. Daneya Esgar [D], Sen. Thomas Exum [D], Rep. Meg Froelich [D], Rep. Alec Garnett [D], Rep. Serena Gonzales-Gutierrez [D], Rep. Matt Gray [D], Rep. Leslie Herod [D], Rep. Edith Hooton [D], Sen. Iman Jodeh [D], Rep. Chris Kennedy [D], Rep. Mandy Lindsay [D], Rep. Julie McCluskie [D], Rep. Karen McCormick [D], Rep. Barbara McLachlan [D], Sen. Dafna Michaelson Jenet [D], Sen. Kyle Mullica [D], Rep. Naquetta Ricks [D], Sen. Dylan Roberts [D], Rep. Emily Sirota [D], Sen. Tom Sullivan [D], Rep. Brianna Titone [D], Rep. Donald Valdez [D], Rep. Alex Valdez [D], Sen. Michael Weissman [D], Rep. Mary Young [D], Sen. Janet Buckner [D], Sen. Rhonda Fields [D], Sen. Joann Ginal [D], Sen. Julie Gonzales [D], Sen. Chris Hansen [D], Sen. Nick Hinrichsen [D], Sen. Chris Kolker [D], Sen. Dominick Moreno [D], Sen. Brittany Pettersen [D], Sen. Robert Rodriguez [D], Rep. Tammy Story [D], Sen. Rachel Zenzinger [D]</v>
      </c>
      <c r="H71" s="6">
        <f t="shared" ref="H71:H212" si="23">U71+V71+W71</f>
        <v>49</v>
      </c>
      <c r="I71" s="5">
        <v>29.0</v>
      </c>
      <c r="J71" s="5">
        <v>19.0</v>
      </c>
      <c r="K71" s="5">
        <v>1.0</v>
      </c>
      <c r="L71" s="6">
        <f t="shared" si="12"/>
        <v>0.5918367347</v>
      </c>
      <c r="M71" s="5">
        <v>31.0</v>
      </c>
      <c r="N71" s="5">
        <v>6.0</v>
      </c>
      <c r="O71" s="5">
        <v>10.0</v>
      </c>
      <c r="P71" s="5">
        <v>0.0</v>
      </c>
      <c r="Q71" s="5">
        <v>0.0</v>
      </c>
      <c r="R71" s="5">
        <v>0.0</v>
      </c>
      <c r="S71" s="5">
        <v>2.0</v>
      </c>
      <c r="T71" s="6">
        <f t="shared" si="13"/>
        <v>0.3673469388</v>
      </c>
      <c r="U71" s="5">
        <f t="shared" si="20"/>
        <v>48</v>
      </c>
      <c r="V71" s="5">
        <f t="shared" si="21"/>
        <v>1</v>
      </c>
      <c r="W71" s="5">
        <f t="shared" si="22"/>
        <v>0</v>
      </c>
      <c r="X71" s="6">
        <f t="shared" si="17"/>
        <v>0.9795918367</v>
      </c>
    </row>
    <row r="72">
      <c r="A72" s="3" t="s">
        <v>51</v>
      </c>
      <c r="B72" s="3">
        <v>2022.0</v>
      </c>
      <c r="C72" s="3" t="s">
        <v>44</v>
      </c>
      <c r="D72" s="4" t="s">
        <v>212</v>
      </c>
      <c r="E72" s="3" t="s">
        <v>161</v>
      </c>
      <c r="F72" s="5" t="s">
        <v>213</v>
      </c>
      <c r="G72" s="6" t="str">
        <f>IFERROR(__xludf.DUMMYFUNCTION("""COMPUTED_VALUE"""),"Rep. Colleen Madigan [D], Sen. Stacy Brenner [D], Sen. Anne Carney [D], Rep. Margaret Craven [D], Sen. Matthea Larsen Daughtry [D], Rep. Richard Evans [D], Rep. Ryan Fecteau [D], Rep. Michele Meyer [D]")</f>
        <v>Rep. Colleen Madigan [D], Sen. Stacy Brenner [D], Sen. Anne Carney [D], Rep. Margaret Craven [D], Sen. Matthea Larsen Daughtry [D], Rep. Richard Evans [D], Rep. Ryan Fecteau [D], Rep. Michele Meyer [D]</v>
      </c>
      <c r="H72" s="6">
        <f t="shared" si="23"/>
        <v>8</v>
      </c>
      <c r="I72" s="5">
        <v>6.0</v>
      </c>
      <c r="J72" s="5">
        <v>2.0</v>
      </c>
      <c r="K72" s="5">
        <v>0.0</v>
      </c>
      <c r="L72" s="6">
        <f t="shared" si="12"/>
        <v>0.75</v>
      </c>
      <c r="M72" s="5">
        <v>7.0</v>
      </c>
      <c r="N72" s="5">
        <v>1.0</v>
      </c>
      <c r="O72" s="5">
        <v>0.0</v>
      </c>
      <c r="P72" s="5">
        <v>0.0</v>
      </c>
      <c r="Q72" s="5">
        <v>0.0</v>
      </c>
      <c r="R72" s="5">
        <v>0.0</v>
      </c>
      <c r="S72" s="5">
        <v>0.0</v>
      </c>
      <c r="T72" s="6">
        <f t="shared" si="13"/>
        <v>0.125</v>
      </c>
      <c r="U72" s="5">
        <f t="shared" si="20"/>
        <v>8</v>
      </c>
      <c r="V72" s="5">
        <f t="shared" si="21"/>
        <v>0</v>
      </c>
      <c r="W72" s="5">
        <f t="shared" si="22"/>
        <v>0</v>
      </c>
      <c r="X72" s="6">
        <f t="shared" si="17"/>
        <v>1</v>
      </c>
    </row>
    <row r="73">
      <c r="A73" s="8" t="s">
        <v>56</v>
      </c>
      <c r="B73" s="8">
        <v>2022.0</v>
      </c>
      <c r="C73" s="8" t="s">
        <v>39</v>
      </c>
      <c r="D73" s="9" t="s">
        <v>198</v>
      </c>
      <c r="E73" s="8" t="s">
        <v>41</v>
      </c>
      <c r="F73" s="5" t="s">
        <v>200</v>
      </c>
      <c r="G73" s="5" t="str">
        <f>IFERROR(__xludf.DUMMYFUNCTION("""COMPUTED_VALUE"""),"Sen. Connie Leyva [D], Asm. David Chiu [D], Asm. Cristina Garcia [D], Sen. Lena Gonzalez [D], Sen. Benjamin Hueso [D], Asm. Marc Levine [D], Sen. Josh Newman [D]")</f>
        <v>Sen. Connie Leyva [D], Asm. David Chiu [D], Asm. Cristina Garcia [D], Sen. Lena Gonzalez [D], Sen. Benjamin Hueso [D], Asm. Marc Levine [D], Sen. Josh Newman [D]</v>
      </c>
      <c r="H73" s="6">
        <f t="shared" si="23"/>
        <v>7</v>
      </c>
      <c r="I73" s="5">
        <v>3.0</v>
      </c>
      <c r="J73" s="5">
        <v>4.0</v>
      </c>
      <c r="K73" s="5">
        <v>0.0</v>
      </c>
      <c r="L73" s="6">
        <f t="shared" si="12"/>
        <v>0.4285714286</v>
      </c>
      <c r="M73" s="5">
        <v>3.0</v>
      </c>
      <c r="N73" s="5">
        <v>0.0</v>
      </c>
      <c r="O73" s="5">
        <v>3.0</v>
      </c>
      <c r="P73" s="5">
        <v>1.0</v>
      </c>
      <c r="Q73" s="5">
        <v>0.0</v>
      </c>
      <c r="R73" s="5">
        <v>0.0</v>
      </c>
      <c r="S73" s="5">
        <v>0.0</v>
      </c>
      <c r="T73" s="6">
        <f t="shared" si="13"/>
        <v>0.5714285714</v>
      </c>
      <c r="U73" s="5">
        <f t="shared" si="20"/>
        <v>7</v>
      </c>
      <c r="V73" s="5">
        <f t="shared" si="21"/>
        <v>0</v>
      </c>
      <c r="W73" s="5">
        <f t="shared" si="22"/>
        <v>0</v>
      </c>
      <c r="X73" s="6">
        <f t="shared" si="17"/>
        <v>1</v>
      </c>
    </row>
    <row r="74">
      <c r="A74" s="3" t="s">
        <v>56</v>
      </c>
      <c r="B74" s="3">
        <v>2022.0</v>
      </c>
      <c r="C74" s="3" t="s">
        <v>87</v>
      </c>
      <c r="D74" s="7" t="s">
        <v>198</v>
      </c>
      <c r="E74" s="3" t="s">
        <v>89</v>
      </c>
      <c r="F74" s="5" t="s">
        <v>200</v>
      </c>
      <c r="G74" s="5" t="str">
        <f>IFERROR(__xludf.DUMMYFUNCTION("""COMPUTED_VALUE"""),"Sen. Connie Leyva [D], Asm. David Chiu [D], Asm. Cristina Garcia [D], Sen. Lena Gonzalez [D], Sen. Benjamin Hueso [D], Asm. Marc Levine [D], Sen. Josh Newman [D]")</f>
        <v>Sen. Connie Leyva [D], Asm. David Chiu [D], Asm. Cristina Garcia [D], Sen. Lena Gonzalez [D], Sen. Benjamin Hueso [D], Asm. Marc Levine [D], Sen. Josh Newman [D]</v>
      </c>
      <c r="H74" s="6">
        <f t="shared" si="23"/>
        <v>7</v>
      </c>
      <c r="I74" s="5">
        <v>3.0</v>
      </c>
      <c r="J74" s="5">
        <v>4.0</v>
      </c>
      <c r="K74" s="5">
        <v>0.0</v>
      </c>
      <c r="L74" s="6">
        <f t="shared" si="12"/>
        <v>0.4285714286</v>
      </c>
      <c r="M74" s="5">
        <v>3.0</v>
      </c>
      <c r="N74" s="5">
        <v>0.0</v>
      </c>
      <c r="O74" s="5">
        <v>3.0</v>
      </c>
      <c r="P74" s="5">
        <v>1.0</v>
      </c>
      <c r="Q74" s="5">
        <v>0.0</v>
      </c>
      <c r="R74" s="5">
        <v>0.0</v>
      </c>
      <c r="S74" s="5">
        <v>0.0</v>
      </c>
      <c r="T74" s="6">
        <f t="shared" si="13"/>
        <v>0.5714285714</v>
      </c>
      <c r="U74" s="5">
        <f t="shared" si="20"/>
        <v>7</v>
      </c>
      <c r="V74" s="5">
        <f t="shared" si="21"/>
        <v>0</v>
      </c>
      <c r="W74" s="5">
        <f t="shared" si="22"/>
        <v>0</v>
      </c>
      <c r="X74" s="6">
        <f t="shared" si="17"/>
        <v>1</v>
      </c>
    </row>
    <row r="75">
      <c r="A75" s="3" t="s">
        <v>56</v>
      </c>
      <c r="B75" s="3">
        <v>2022.0</v>
      </c>
      <c r="C75" s="3" t="s">
        <v>90</v>
      </c>
      <c r="D75" s="4" t="s">
        <v>198</v>
      </c>
      <c r="E75" s="3" t="s">
        <v>176</v>
      </c>
      <c r="F75" s="5" t="s">
        <v>200</v>
      </c>
      <c r="G75" s="5" t="str">
        <f>IFERROR(__xludf.DUMMYFUNCTION("""COMPUTED_VALUE"""),"Sen. Connie Leyva [D], Asm. David Chiu [D], Asm. Cristina Garcia [D], Sen. Lena Gonzalez [D], Sen. Benjamin Hueso [D], Asm. Marc Levine [D], Sen. Josh Newman [D]")</f>
        <v>Sen. Connie Leyva [D], Asm. David Chiu [D], Asm. Cristina Garcia [D], Sen. Lena Gonzalez [D], Sen. Benjamin Hueso [D], Asm. Marc Levine [D], Sen. Josh Newman [D]</v>
      </c>
      <c r="H75" s="6">
        <f t="shared" si="23"/>
        <v>7</v>
      </c>
      <c r="I75" s="5">
        <v>3.0</v>
      </c>
      <c r="J75" s="5">
        <v>4.0</v>
      </c>
      <c r="K75" s="5">
        <v>0.0</v>
      </c>
      <c r="L75" s="6">
        <f t="shared" si="12"/>
        <v>0.4285714286</v>
      </c>
      <c r="M75" s="5">
        <v>3.0</v>
      </c>
      <c r="N75" s="5">
        <v>0.0</v>
      </c>
      <c r="O75" s="5">
        <v>3.0</v>
      </c>
      <c r="P75" s="5">
        <v>1.0</v>
      </c>
      <c r="Q75" s="5">
        <v>0.0</v>
      </c>
      <c r="R75" s="5">
        <v>0.0</v>
      </c>
      <c r="S75" s="5">
        <v>0.0</v>
      </c>
      <c r="T75" s="6">
        <f t="shared" si="13"/>
        <v>0.5714285714</v>
      </c>
      <c r="U75" s="5">
        <f t="shared" si="20"/>
        <v>7</v>
      </c>
      <c r="V75" s="5">
        <f t="shared" si="21"/>
        <v>0</v>
      </c>
      <c r="W75" s="5">
        <f t="shared" si="22"/>
        <v>0</v>
      </c>
      <c r="X75" s="6">
        <f t="shared" si="17"/>
        <v>1</v>
      </c>
    </row>
    <row r="76">
      <c r="A76" s="3" t="s">
        <v>51</v>
      </c>
      <c r="B76" s="3">
        <v>2022.0</v>
      </c>
      <c r="C76" s="3" t="s">
        <v>90</v>
      </c>
      <c r="D76" s="4" t="s">
        <v>214</v>
      </c>
      <c r="E76" s="3" t="s">
        <v>127</v>
      </c>
      <c r="F76" s="5" t="s">
        <v>215</v>
      </c>
      <c r="G76" s="5" t="str">
        <f>IFERROR(__xludf.DUMMYFUNCTION("""COMPUTED_VALUE"""),"Sen. Troy Jackson [D], Sen. Stacy Brenner [D], Sen. Anne Carney [D], Sen. Matthea Larsen Daughtry [D], Rep. Michelle Dunphy [D], Rep. Ryan Fecteau [D], Rep. Stephen Moriarty [D], Sen. Rachel Talbot Ross [D], Sen. Eloise Vitelli [D]")</f>
        <v>Sen. Troy Jackson [D], Sen. Stacy Brenner [D], Sen. Anne Carney [D], Sen. Matthea Larsen Daughtry [D], Rep. Michelle Dunphy [D], Rep. Ryan Fecteau [D], Rep. Stephen Moriarty [D], Sen. Rachel Talbot Ross [D], Sen. Eloise Vitelli [D]</v>
      </c>
      <c r="H76" s="6">
        <f t="shared" si="23"/>
        <v>9</v>
      </c>
      <c r="I76" s="5">
        <v>6.0</v>
      </c>
      <c r="J76" s="5">
        <v>3.0</v>
      </c>
      <c r="K76" s="5">
        <v>0.0</v>
      </c>
      <c r="L76" s="6">
        <f t="shared" si="12"/>
        <v>0.6666666667</v>
      </c>
      <c r="M76" s="5">
        <v>8.0</v>
      </c>
      <c r="N76" s="5">
        <v>1.0</v>
      </c>
      <c r="O76" s="5">
        <v>0.0</v>
      </c>
      <c r="P76" s="5">
        <v>0.0</v>
      </c>
      <c r="Q76" s="5">
        <v>0.0</v>
      </c>
      <c r="R76" s="5">
        <v>0.0</v>
      </c>
      <c r="S76" s="5">
        <v>0.0</v>
      </c>
      <c r="T76" s="6">
        <f t="shared" si="13"/>
        <v>0.1111111111</v>
      </c>
      <c r="U76" s="5">
        <f t="shared" si="20"/>
        <v>9</v>
      </c>
      <c r="V76" s="5">
        <f t="shared" si="21"/>
        <v>0</v>
      </c>
      <c r="W76" s="5">
        <f t="shared" si="22"/>
        <v>0</v>
      </c>
      <c r="X76" s="6">
        <f t="shared" si="17"/>
        <v>1</v>
      </c>
    </row>
    <row r="77">
      <c r="A77" s="3" t="s">
        <v>114</v>
      </c>
      <c r="B77" s="3">
        <v>2022.0</v>
      </c>
      <c r="C77" s="3" t="s">
        <v>187</v>
      </c>
      <c r="D77" s="4" t="s">
        <v>216</v>
      </c>
      <c r="E77" s="7" t="s">
        <v>191</v>
      </c>
      <c r="F77" s="5" t="s">
        <v>217</v>
      </c>
      <c r="G77" s="5" t="str">
        <f>IFERROR(__xludf.DUMMYFUNCTION("""COMPUTED_VALUE"""),"Sen. Ariana Kelly [D], Del. Shane Pendergrass [D], Del. Joseline Pena-Melnyk [D], Del. Bonnie Cullison [D], Del. Samuel Rosenberg [D], Del. Gabriel Acevero [D], Del. Heather Bagnall [D], Del. Kumar Barve [D], Del. Vanessa Atterbeary [D], Del. Ben Barnes ["&amp;"D], Del. Lisa Belcastro [D], Del. Regina Boyce [D], Sen. Benjamin Brooks [D], Del. Jon Cardin [D], Del. Alfred Carr [D], Del. Lorig Charkoudian [D], Del. Luke Clippinger [D], Del. Charlotte Crutchfield [D], Del. Jessica Feldmark [D], Del. Wanika Fisher [D"&amp;"], Del. Linda Foley [D], Del. Catherine Forbes [D], Del. David Fraser-hidalgo [D], Del. James Gilchrist [D], Del. Michele Guyton [D], Del. Andrea Harrison [D], Del. Terri Hill [D], Del. Faye Howell [D], Del. Dana Jones [D], Del. Anne Kaiser [D], Del. Marc"&amp;" Korman [D], Del. Mary Lehman [D], Del. Jazz Lewis [D], Del. Robbyn Lewis [D], Del. Brooke Lierman [D], Del. Lesley Lopez [D], Sen. Sara Love [D], Del. Eric Luedtke [D], Del. Maggie McIntosh [D], Del. David Moon [D], Del. Julie Palakovich Carr [D], Del. L"&amp;"ily Qi [D], Del. Pamela Queen [D], Del. Kirill Reznik [D], Del. Sheila Ruth [D], Del. Emily Shetty [D], Del. Stephanie Smith [D], Del. Jared Solomon [D], Del. Dana Stein [D], Del. Vaughn Stewart [D], Del. Jen Terrasa [D], Del. Kriselda Valderrama [D], Sen"&amp;". Alonzo Washington [D], Del. Melissa Wells [D], Del. Jheanelle Wilkins [D], Del. Nicole Williams [D], Sen. Karen Lewis Young [D]")</f>
        <v>Sen. Ariana Kelly [D], Del. Shane Pendergrass [D], Del. Joseline Pena-Melnyk [D], Del. Bonnie Cullison [D], Del. Samuel Rosenberg [D], Del. Gabriel Acevero [D], Del. Heather Bagnall [D], Del. Kumar Barve [D], Del. Vanessa Atterbeary [D], Del. Ben Barnes [D], Del. Lisa Belcastro [D], Del. Regina Boyce [D], Sen. Benjamin Brooks [D], Del. Jon Cardin [D], Del. Alfred Carr [D], Del. Lorig Charkoudian [D], Del. Luke Clippinger [D], Del. Charlotte Crutchfield [D], Del. Jessica Feldmark [D], Del. Wanika Fisher [D], Del. Linda Foley [D], Del. Catherine Forbes [D], Del. David Fraser-hidalgo [D], Del. James Gilchrist [D], Del. Michele Guyton [D], Del. Andrea Harrison [D], Del. Terri Hill [D], Del. Faye Howell [D], Del. Dana Jones [D], Del. Anne Kaiser [D], Del. Marc Korman [D], Del. Mary Lehman [D], Del. Jazz Lewis [D], Del. Robbyn Lewis [D], Del. Brooke Lierman [D], Del. Lesley Lopez [D], Sen. Sara Love [D], Del. Eric Luedtke [D], Del. Maggie McIntosh [D], Del. David Moon [D], Del. Julie Palakovich Carr [D], Del. Lily Qi [D], Del. Pamela Queen [D], Del. Kirill Reznik [D], Del. Sheila Ruth [D], Del. Emily Shetty [D], Del. Stephanie Smith [D], Del. Jared Solomon [D], Del. Dana Stein [D], Del. Vaughn Stewart [D], Del. Jen Terrasa [D], Del. Kriselda Valderrama [D], Sen. Alonzo Washington [D], Del. Melissa Wells [D], Del. Jheanelle Wilkins [D], Del. Nicole Williams [D], Sen. Karen Lewis Young [D]</v>
      </c>
      <c r="H77" s="6">
        <f t="shared" si="23"/>
        <v>57</v>
      </c>
      <c r="I77" s="5">
        <v>38.0</v>
      </c>
      <c r="J77" s="5">
        <v>19.0</v>
      </c>
      <c r="K77" s="5">
        <v>0.0</v>
      </c>
      <c r="L77" s="6">
        <f t="shared" si="12"/>
        <v>0.6666666667</v>
      </c>
      <c r="M77" s="5">
        <v>32.0</v>
      </c>
      <c r="N77" s="5">
        <v>18.0</v>
      </c>
      <c r="O77" s="5">
        <v>3.0</v>
      </c>
      <c r="P77" s="5">
        <v>4.0</v>
      </c>
      <c r="Q77" s="5">
        <v>0.0</v>
      </c>
      <c r="R77" s="5">
        <v>0.0</v>
      </c>
      <c r="S77" s="5">
        <v>0.0</v>
      </c>
      <c r="T77" s="6">
        <f t="shared" si="13"/>
        <v>0.4385964912</v>
      </c>
      <c r="U77" s="5">
        <f t="shared" si="20"/>
        <v>57</v>
      </c>
      <c r="V77" s="5">
        <f t="shared" si="21"/>
        <v>0</v>
      </c>
      <c r="W77" s="5">
        <f t="shared" si="22"/>
        <v>0</v>
      </c>
      <c r="X77" s="6">
        <f t="shared" si="17"/>
        <v>1</v>
      </c>
    </row>
    <row r="78">
      <c r="A78" s="3" t="s">
        <v>218</v>
      </c>
      <c r="B78" s="3">
        <v>2022.0</v>
      </c>
      <c r="C78" s="3" t="s">
        <v>187</v>
      </c>
      <c r="D78" s="4" t="s">
        <v>219</v>
      </c>
      <c r="E78" s="7" t="s">
        <v>191</v>
      </c>
      <c r="F78" s="5" t="s">
        <v>220</v>
      </c>
      <c r="G78" s="5" t="str">
        <f>IFERROR(__xludf.DUMMYFUNCTION("""COMPUTED_VALUE"""),"Rep. Marjorie Decker [D], Rep. Lindsay Sabadosa [D], Rep. Mike Connolly [D], Rep. Jack Lewis [D], Rep. Christina Minicucci [D], Rep. Lori Ehrlich [D], Rep. Carmine Gentile [D], Rep. David Linsky [D], Rep. Kay Khan [D], Rep. Ruth Balser [D], Rep. Steven Ow"&amp;"ens [D], Sen. Jason Lewis [D], Rep. Kevin Honan [D], Rep. Tommy Vitolo [D], Rep. David Rogers [D], Rep. Natalie Higgins [D], Rep. Sarah Peake [D], Rep. Ted Philips [D], Rep. James Arciero [D], Rep. David LeBoeuf [D], Rep. Michael Moran [D], Rep. Kate Lipp"&amp;"er-Garabedian [D], Sen. Paul Mark [D], Sen. James Eldridge [D], Rep. Christine Barber [D], Sen. Joanne Comerford [D], Rep. Patricia Duffy [D], Sen. Dylan Fernandes [D], Rep. Adrian Madaro [D], Rep. Steven Ultrino [D], Rep. Peter Capano [D], Rep. Michael K"&amp;"ushmerek [D], Rep. Tram Nguyen [D], Sen. Julian Cyr [D], Sen. Harriette Chandler [D], Rep. Tami Gouveia [D], Sen. Rebecca Rausch [D], Rep. Natalie Blais [D], Rep. Meghan Kilcoyne [D]")</f>
        <v>Rep. Marjorie Decker [D], Rep. Lindsay Sabadosa [D], Rep. Mike Connolly [D], Rep. Jack Lewis [D], Rep. Christina Minicucci [D], Rep. Lori Ehrlich [D], Rep. Carmine Gentile [D], Rep. David Linsky [D], Rep. Kay Khan [D], Rep. Ruth Balser [D], Rep. Steven Owens [D], Sen. Jason Lewis [D], Rep. Kevin Honan [D], Rep. Tommy Vitolo [D], Rep. David Rogers [D], Rep. Natalie Higgins [D], Rep. Sarah Peake [D], Rep. Ted Philips [D], Rep. James Arciero [D], Rep. David LeBoeuf [D], Rep. Michael Moran [D], Rep. Kate Lipper-Garabedian [D], Sen. Paul Mark [D], Sen. James Eldridge [D], Rep. Christine Barber [D], Sen. Joanne Comerford [D], Rep. Patricia Duffy [D], Sen. Dylan Fernandes [D], Rep. Adrian Madaro [D], Rep. Steven Ultrino [D], Rep. Peter Capano [D], Rep. Michael Kushmerek [D], Rep. Tram Nguyen [D], Sen. Julian Cyr [D], Sen. Harriette Chandler [D], Rep. Tami Gouveia [D], Sen. Rebecca Rausch [D], Rep. Natalie Blais [D], Rep. Meghan Kilcoyne [D]</v>
      </c>
      <c r="H78" s="6">
        <f t="shared" si="23"/>
        <v>39</v>
      </c>
      <c r="I78" s="5">
        <v>18.0</v>
      </c>
      <c r="J78" s="5">
        <v>21.0</v>
      </c>
      <c r="K78" s="5">
        <v>0.0</v>
      </c>
      <c r="L78" s="6">
        <f t="shared" si="12"/>
        <v>0.4615384615</v>
      </c>
      <c r="M78" s="5">
        <v>38.0</v>
      </c>
      <c r="N78" s="5">
        <v>0.0</v>
      </c>
      <c r="O78" s="5">
        <v>0.0</v>
      </c>
      <c r="P78" s="5">
        <v>1.0</v>
      </c>
      <c r="Q78" s="5">
        <v>0.0</v>
      </c>
      <c r="R78" s="5">
        <v>0.0</v>
      </c>
      <c r="S78" s="5">
        <v>0.0</v>
      </c>
      <c r="T78" s="6">
        <f t="shared" si="13"/>
        <v>0.02564102564</v>
      </c>
      <c r="U78" s="5">
        <f t="shared" si="20"/>
        <v>39</v>
      </c>
      <c r="V78" s="5">
        <f t="shared" si="21"/>
        <v>0</v>
      </c>
      <c r="W78" s="5">
        <f t="shared" si="22"/>
        <v>0</v>
      </c>
      <c r="X78" s="6">
        <f t="shared" si="17"/>
        <v>1</v>
      </c>
    </row>
    <row r="79">
      <c r="A79" s="3" t="s">
        <v>62</v>
      </c>
      <c r="B79" s="3">
        <v>2022.0</v>
      </c>
      <c r="C79" s="3" t="s">
        <v>187</v>
      </c>
      <c r="D79" s="4" t="s">
        <v>221</v>
      </c>
      <c r="E79" s="4" t="s">
        <v>194</v>
      </c>
      <c r="F79" s="5" t="s">
        <v>222</v>
      </c>
      <c r="G79" s="6" t="str">
        <f>IFERROR(__xludf.DUMMYFUNCTION("""COMPUTED_VALUE"""),"Sen. Todd Kaminsky [D], Sen. Liz Krueger [D], Sen. John Liu [D], Sen. Julia Salazar [D], Sen. Alexis Weik [R], Sen. Edward Rath [R]")</f>
        <v>Sen. Todd Kaminsky [D], Sen. Liz Krueger [D], Sen. John Liu [D], Sen. Julia Salazar [D], Sen. Alexis Weik [R], Sen. Edward Rath [R]</v>
      </c>
      <c r="H79" s="6">
        <f t="shared" si="23"/>
        <v>6</v>
      </c>
      <c r="I79" s="5">
        <v>3.0</v>
      </c>
      <c r="J79" s="5">
        <v>3.0</v>
      </c>
      <c r="K79" s="5">
        <v>0.0</v>
      </c>
      <c r="L79" s="6">
        <f t="shared" si="12"/>
        <v>0.5</v>
      </c>
      <c r="M79" s="5">
        <v>3.0</v>
      </c>
      <c r="N79" s="5">
        <v>0.0</v>
      </c>
      <c r="O79" s="5">
        <v>2.0</v>
      </c>
      <c r="P79" s="5">
        <v>1.0</v>
      </c>
      <c r="Q79" s="5">
        <v>0.0</v>
      </c>
      <c r="R79" s="5">
        <v>0.0</v>
      </c>
      <c r="S79" s="5">
        <v>0.0</v>
      </c>
      <c r="T79" s="6">
        <f t="shared" si="13"/>
        <v>0.5</v>
      </c>
      <c r="U79" s="5">
        <v>4.0</v>
      </c>
      <c r="V79" s="5">
        <v>2.0</v>
      </c>
      <c r="W79" s="5">
        <v>0.0</v>
      </c>
      <c r="X79" s="6">
        <f t="shared" si="17"/>
        <v>0.6666666667</v>
      </c>
    </row>
    <row r="80">
      <c r="A80" s="3" t="s">
        <v>65</v>
      </c>
      <c r="B80" s="3">
        <v>2021.0</v>
      </c>
      <c r="C80" s="3" t="s">
        <v>30</v>
      </c>
      <c r="D80" s="4" t="s">
        <v>223</v>
      </c>
      <c r="E80" s="3" t="s">
        <v>36</v>
      </c>
      <c r="F80" s="5" t="s">
        <v>224</v>
      </c>
      <c r="G80" s="6" t="str">
        <f>IFERROR(__xludf.DUMMYFUNCTION("""COMPUTED_VALUE"""),"Rep. Mia Ackerman [D], Rep. Michael Chippendale [R], Rep. Bernard Hawkins [D], Rep. Jacquelyn Baginski [D], Rep. Joseph McNamara [D]")</f>
        <v>Rep. Mia Ackerman [D], Rep. Michael Chippendale [R], Rep. Bernard Hawkins [D], Rep. Jacquelyn Baginski [D], Rep. Joseph McNamara [D]</v>
      </c>
      <c r="H80" s="6">
        <f t="shared" si="23"/>
        <v>5</v>
      </c>
      <c r="I80" s="5">
        <v>2.0</v>
      </c>
      <c r="J80" s="5">
        <v>3.0</v>
      </c>
      <c r="K80" s="5">
        <v>0.0</v>
      </c>
      <c r="L80" s="6">
        <f t="shared" si="12"/>
        <v>0.4</v>
      </c>
      <c r="M80" s="5">
        <v>5.0</v>
      </c>
      <c r="N80" s="5">
        <v>0.0</v>
      </c>
      <c r="O80" s="5">
        <v>0.0</v>
      </c>
      <c r="P80" s="5">
        <v>0.0</v>
      </c>
      <c r="Q80" s="5">
        <v>0.0</v>
      </c>
      <c r="R80" s="5">
        <v>0.0</v>
      </c>
      <c r="S80" s="5">
        <v>0.0</v>
      </c>
      <c r="T80" s="6">
        <f t="shared" si="13"/>
        <v>0</v>
      </c>
      <c r="U80" s="7">
        <f t="shared" ref="U80:U82" si="24">IF(G80 = "", "", (LEN(G80) - LEN(SUBSTITUTE(G80, "[D]", ""))) / 3)</f>
        <v>4</v>
      </c>
      <c r="V80" s="7">
        <f t="shared" ref="V80:V82" si="25">IF(G80 = "", "", (LEN(G80) - LEN(SUBSTITUTE(G80, "[R]", ""))) / 3)</f>
        <v>1</v>
      </c>
      <c r="W80" s="7">
        <f t="shared" ref="W80:W82" si="26">IF(G80 = "", "", (LEN(G80) - LEN(SUBSTITUTE(G80, "[I]", ""))) / 3)</f>
        <v>0</v>
      </c>
      <c r="X80" s="6">
        <f t="shared" si="17"/>
        <v>0.8</v>
      </c>
    </row>
    <row r="81">
      <c r="A81" s="3" t="s">
        <v>143</v>
      </c>
      <c r="B81" s="3">
        <v>2021.0</v>
      </c>
      <c r="C81" s="3" t="s">
        <v>52</v>
      </c>
      <c r="D81" s="7" t="s">
        <v>225</v>
      </c>
      <c r="E81" s="3" t="s">
        <v>54</v>
      </c>
      <c r="F81" s="5" t="s">
        <v>226</v>
      </c>
      <c r="G81" s="6" t="str">
        <f>IFERROR(__xludf.DUMMYFUNCTION("""COMPUTED_VALUE"""),"Sen. Marko Liias [D], Sen. Emily Randall [D], Sen. Mona Das [D], Sen. Manka Dhingra [D], Sen. David Frockt [D], Sen. Samuel Hunt [D], Sen. Karen Keiser [D], Sen. Patty Kuderer [D], Sen. Liz Lovelett [D], Sen. Joe Nguyen [D], Sen. T'wina Nobles [D], Sen. J"&amp;"amie Pedersen [D], Sen. June Robinson [D], Sen. Derek Stanford [D], Sen. Kevin Van De Wege [D], Sen. Claire Wilson [D]")</f>
        <v>Sen. Marko Liias [D], Sen. Emily Randall [D], Sen. Mona Das [D], Sen. Manka Dhingra [D], Sen. David Frockt [D], Sen. Samuel Hunt [D], Sen. Karen Keiser [D], Sen. Patty Kuderer [D], Sen. Liz Lovelett [D], Sen. Joe Nguyen [D], Sen. T'wina Nobles [D], Sen. Jamie Pedersen [D], Sen. June Robinson [D], Sen. Derek Stanford [D], Sen. Kevin Van De Wege [D], Sen. Claire Wilson [D]</v>
      </c>
      <c r="H81" s="6">
        <f t="shared" si="23"/>
        <v>16</v>
      </c>
      <c r="I81" s="5">
        <v>9.0</v>
      </c>
      <c r="J81" s="5">
        <v>7.0</v>
      </c>
      <c r="K81" s="5">
        <v>0.0</v>
      </c>
      <c r="L81" s="6">
        <f t="shared" si="12"/>
        <v>0.5625</v>
      </c>
      <c r="M81" s="5">
        <v>11.0</v>
      </c>
      <c r="N81" s="5">
        <v>1.0</v>
      </c>
      <c r="O81" s="5">
        <v>1.0</v>
      </c>
      <c r="P81" s="5">
        <v>3.0</v>
      </c>
      <c r="Q81" s="5">
        <v>0.0</v>
      </c>
      <c r="R81" s="5">
        <v>0.0</v>
      </c>
      <c r="S81" s="5">
        <v>0.0</v>
      </c>
      <c r="T81" s="6">
        <f t="shared" si="13"/>
        <v>0.3125</v>
      </c>
      <c r="U81" s="7">
        <f t="shared" si="24"/>
        <v>16</v>
      </c>
      <c r="V81" s="7">
        <f t="shared" si="25"/>
        <v>0</v>
      </c>
      <c r="W81" s="7">
        <f t="shared" si="26"/>
        <v>0</v>
      </c>
      <c r="X81" s="6">
        <f t="shared" si="17"/>
        <v>1</v>
      </c>
    </row>
    <row r="82">
      <c r="A82" s="3" t="s">
        <v>72</v>
      </c>
      <c r="B82" s="3">
        <v>2021.0</v>
      </c>
      <c r="C82" s="3" t="s">
        <v>44</v>
      </c>
      <c r="D82" s="4" t="s">
        <v>227</v>
      </c>
      <c r="E82" s="3" t="s">
        <v>74</v>
      </c>
      <c r="F82" s="5" t="s">
        <v>228</v>
      </c>
      <c r="G82" s="6" t="str">
        <f>IFERROR(__xludf.DUMMYFUNCTION("""COMPUTED_VALUE"""),"Rep. Margaret Croke [D], Rep. Katie Stuart [D], Rep. Deborah Conroy [D], Rep. Ann Williams [D], Rep. John D'Amico [D], Rep. Eva Dina Delgado [D], Rep. Terra Costa Howard [D], Rep. Robyn Gabel [D], Rep. Kelly Cassidy [D], Rep. Maurice West [D], Rep. Jonath"&amp;"an Carroll [D], Rep. Bob Morgan [D], Rep. Daniel Didech [D], Rep. Lindsey LaPointe [D], Rep. Jennifer Gong-Gershowitz [D], Rep. Jaime Andrade [D], Rep. Anna Moeller [D], Rep. Dagmara Avelar [D], Sen. Mark Walker [D], Rep. Natalie Manley [D], Rep. Joyce Ma"&amp;"son [D], Rep. Rita Mayfield [D], Rep. Kathleen Willis [D], Rep. Elizabeth Hernandez [D], Rep. Camille Lilly [D], Rep. Barbara Hernandez [D], Sen. Laura Fine [D], Sen. Sara Feigenholtz [D], Sen. Melinda Bush [D], Sen. Celina Villanueva [D], Sen. Omar Aquin"&amp;"o [D], Sen. Cristina Castro [D], Sen. Scott Bennett [D]")</f>
        <v>Rep. Margaret Croke [D], Rep. Katie Stuart [D], Rep. Deborah Conroy [D], Rep. Ann Williams [D], Rep. John D'Amico [D], Rep. Eva Dina Delgado [D], Rep. Terra Costa Howard [D], Rep. Robyn Gabel [D], Rep. Kelly Cassidy [D], Rep. Maurice West [D], Rep. Jonathan Carroll [D], Rep. Bob Morgan [D], Rep. Daniel Didech [D], Rep. Lindsey LaPointe [D], Rep. Jennifer Gong-Gershowitz [D], Rep. Jaime Andrade [D], Rep. Anna Moeller [D], Rep. Dagmara Avelar [D], Sen. Mark Walker [D], Rep. Natalie Manley [D], Rep. Joyce Mason [D], Rep. Rita Mayfield [D], Rep. Kathleen Willis [D], Rep. Elizabeth Hernandez [D], Rep. Camille Lilly [D], Rep. Barbara Hernandez [D], Sen. Laura Fine [D], Sen. Sara Feigenholtz [D], Sen. Melinda Bush [D], Sen. Celina Villanueva [D], Sen. Omar Aquino [D], Sen. Cristina Castro [D], Sen. Scott Bennett [D]</v>
      </c>
      <c r="H82" s="6">
        <f t="shared" si="23"/>
        <v>33</v>
      </c>
      <c r="I82" s="5">
        <v>24.0</v>
      </c>
      <c r="J82" s="5">
        <v>9.0</v>
      </c>
      <c r="K82" s="5">
        <v>0.0</v>
      </c>
      <c r="L82" s="6">
        <f t="shared" si="12"/>
        <v>0.7272727273</v>
      </c>
      <c r="M82" s="5">
        <v>22.0</v>
      </c>
      <c r="N82" s="5">
        <v>3.0</v>
      </c>
      <c r="O82" s="5">
        <v>7.0</v>
      </c>
      <c r="P82" s="5">
        <v>1.0</v>
      </c>
      <c r="Q82" s="5">
        <v>0.0</v>
      </c>
      <c r="R82" s="5">
        <v>0.0</v>
      </c>
      <c r="S82" s="5">
        <v>0.0</v>
      </c>
      <c r="T82" s="6">
        <f t="shared" si="13"/>
        <v>0.3333333333</v>
      </c>
      <c r="U82" s="5">
        <f t="shared" si="24"/>
        <v>33</v>
      </c>
      <c r="V82" s="5">
        <f t="shared" si="25"/>
        <v>0</v>
      </c>
      <c r="W82" s="5">
        <f t="shared" si="26"/>
        <v>0</v>
      </c>
      <c r="X82" s="6">
        <f t="shared" si="17"/>
        <v>1</v>
      </c>
    </row>
    <row r="83">
      <c r="A83" s="3" t="s">
        <v>100</v>
      </c>
      <c r="B83" s="3">
        <v>2021.0</v>
      </c>
      <c r="C83" s="3" t="s">
        <v>95</v>
      </c>
      <c r="D83" s="4" t="s">
        <v>229</v>
      </c>
      <c r="E83" s="3" t="s">
        <v>230</v>
      </c>
      <c r="F83" s="5" t="s">
        <v>231</v>
      </c>
      <c r="G83" s="5" t="str">
        <f>IFERROR(__xludf.DUMMYFUNCTION("""COMPUTED_VALUE"""),"Sen. Donald Coram [R], Sen. Brittany Pettersen [D], Rep. Kerry Tipper [D], Sen. Perry Will [R], Sen. Jeff Bridges [D], Sen. Janet Buckner [D], Sen. Jessie Danielson [D], Sen. Kerry Donovan [D], Sen. Rhonda Fields [D], Sen. Joann Ginal [D], Sen. Julie Gonz"&amp;"ales [D], Sen. Chris Hansen [D], Sen. Sonya Jaquez Lewis [D], Sen. Chris Kolker [D], Sen. Pete Lee [D], Sen. Dominick Moreno [D], Sen. Robert Rodriguez [D], Rep. Tammy Story [D], Sen. Faith Winter [D], Sen. Rachel Zenzinger [D], Sen. Judith Amabile [D], R"&amp;"ep. Tracey Bernett [D], Rep. Shannon Bird [D], Rep. Andrew Boesenecker [D], Sen. Lisa Cutter [D], Rep. Daneya Esgar [D], Rep. Meg Froelich [D], Rep. Serena Gonzales-Gutierrez [D], Rep. Matt Gray [D], Rep. Edith Hooton [D], Rep. Dominique Jackson [D], Sen."&amp;" Iman Jodeh [D], Sen. Cathy Kipp [D], Rep. Julie McCluskie [D], Sen. Dafna Michaelson Jenet [D], Sen. Kyle Mullica [D], Rep. Emily Sirota [D], Rep. Brianna Titone [D], Rep. Alex Valdez [D], Rep. Donald Valdez [D], Rep. Mary Young [D],")</f>
        <v>Sen. Donald Coram [R], Sen. Brittany Pettersen [D], Rep. Kerry Tipper [D], Sen. Perry Will [R], Sen. Jeff Bridges [D], Sen. Janet Buckner [D], Sen. Jessie Danielson [D], Sen. Kerry Donovan [D], Sen. Rhonda Fields [D], Sen. Joann Ginal [D], Sen. Julie Gonzales [D], Sen. Chris Hansen [D], Sen. Sonya Jaquez Lewis [D], Sen. Chris Kolker [D], Sen. Pete Lee [D], Sen. Dominick Moreno [D], Sen. Robert Rodriguez [D], Rep. Tammy Story [D], Sen. Faith Winter [D], Sen. Rachel Zenzinger [D], Sen. Judith Amabile [D], Rep. Tracey Bernett [D], Rep. Shannon Bird [D], Rep. Andrew Boesenecker [D], Sen. Lisa Cutter [D], Rep. Daneya Esgar [D], Rep. Meg Froelich [D], Rep. Serena Gonzales-Gutierrez [D], Rep. Matt Gray [D], Rep. Edith Hooton [D], Rep. Dominique Jackson [D], Sen. Iman Jodeh [D], Sen. Cathy Kipp [D], Rep. Julie McCluskie [D], Sen. Dafna Michaelson Jenet [D], Sen. Kyle Mullica [D], Rep. Emily Sirota [D], Rep. Brianna Titone [D], Rep. Alex Valdez [D], Rep. Donald Valdez [D], Rep. Mary Young [D],</v>
      </c>
      <c r="H83" s="6">
        <f t="shared" si="23"/>
        <v>41</v>
      </c>
      <c r="I83" s="5">
        <v>27.0</v>
      </c>
      <c r="J83" s="5">
        <v>13.0</v>
      </c>
      <c r="K83" s="5">
        <v>1.0</v>
      </c>
      <c r="L83" s="6">
        <f t="shared" si="12"/>
        <v>0.6585365854</v>
      </c>
      <c r="M83" s="5">
        <v>28.0</v>
      </c>
      <c r="N83" s="5">
        <v>3.0</v>
      </c>
      <c r="O83" s="5">
        <v>8.0</v>
      </c>
      <c r="P83" s="5">
        <v>0.0</v>
      </c>
      <c r="Q83" s="5">
        <v>0.0</v>
      </c>
      <c r="R83" s="5">
        <v>0.0</v>
      </c>
      <c r="S83" s="5">
        <v>2.0</v>
      </c>
      <c r="T83" s="6">
        <f t="shared" si="13"/>
        <v>0.3170731707</v>
      </c>
      <c r="U83" s="5">
        <v>39.0</v>
      </c>
      <c r="V83" s="5">
        <v>2.0</v>
      </c>
      <c r="W83" s="5">
        <v>0.0</v>
      </c>
      <c r="X83" s="6">
        <f t="shared" si="17"/>
        <v>0.9512195122</v>
      </c>
    </row>
    <row r="84">
      <c r="A84" s="3" t="s">
        <v>100</v>
      </c>
      <c r="B84" s="3">
        <v>2021.0</v>
      </c>
      <c r="C84" s="3" t="s">
        <v>95</v>
      </c>
      <c r="D84" s="4" t="s">
        <v>232</v>
      </c>
      <c r="E84" s="3" t="s">
        <v>230</v>
      </c>
      <c r="F84" s="5" t="s">
        <v>233</v>
      </c>
      <c r="G84" s="6" t="str">
        <f>IFERROR(__xludf.DUMMYFUNCTION("""COMPUTED_VALUE"""),"Sen. Sonya Jaquez Lewis [D], Rep. Yadira Caraveo [D], Sen. Janet Buckner [D], Sen. Jessie Danielson [D], Sen. Julie Gonzales [D], Sen. Chris Kolker [D], Sen. Brittany Pettersen [D], Sen. Robert Rodriguez [D], Rep. Adrienne Benavidez [D], Rep. Monica Duran"&amp;" [D], Rep. Serena Gonzales-Gutierrez [D], Rep. Edith Hooton [D], Sen. Iman Jodeh [D], Rep. Susan Lontine [D], Sen. Dafna Michaelson Jenet [D], Sen. Kyle Mullica [D], Rep. David Ortiz [D], Rep. Brianna Titone [D], Rep. Donald Valdez [D], Rep. Alex Valdez ["&amp;"D], Rep. Steven Woodrow [D], Sen. Jeff Bridges [D], Sen. James Coleman [D], Sen. Kerry Donovan [D], Sen. Steve Fenberg [D], Sen. Rhonda Fields [D], Sen. Joann Ginal [D], Sen. Chris Hansen [D], Sen. Pete Lee [D], Sen. Dominick Moreno [D], Rep. Tammy Story "&amp;"[D], Sen. Faith Winter [D], Sen. Rachel Zenzinger [D], Rep. Jennifer Bacon [D], Rep. Shannon Bird [D], Rep. Andrew Boesenecker [D], Sen. Lisa Cutter [D], Rep. Daneya Esgar [D], Sen. Thomas Exum [D], Rep. Meg Froelich [D], Rep. Matt Gray [D], Rep. Leslie H"&amp;"erod [D], Rep. Dominique Jackson [D], Rep. Chris Kennedy [D], Sen. Cathy Kipp [D], Rep. Julie McCluskie [D], Rep. Karen McCormick [D], Rep. Barbara McLachlan [D], Rep. Emily Sirota [D], Sen. Tom Sullivan [D], Rep. Mary Young [D]")</f>
        <v>Sen. Sonya Jaquez Lewis [D], Rep. Yadira Caraveo [D], Sen. Janet Buckner [D], Sen. Jessie Danielson [D], Sen. Julie Gonzales [D], Sen. Chris Kolker [D], Sen. Brittany Pettersen [D], Sen. Robert Rodriguez [D], Rep. Adrienne Benavidez [D], Rep. Monica Duran [D], Rep. Serena Gonzales-Gutierrez [D], Rep. Edith Hooton [D], Sen. Iman Jodeh [D], Rep. Susan Lontine [D], Sen. Dafna Michaelson Jenet [D], Sen. Kyle Mullica [D], Rep. David Ortiz [D], Rep. Brianna Titone [D], Rep. Donald Valdez [D], Rep. Alex Valdez [D], Rep. Steven Woodrow [D], Sen. Jeff Bridges [D], Sen. James Coleman [D], Sen. Kerry Donovan [D], Sen. Steve Fenberg [D], Sen. Rhonda Fields [D], Sen. Joann Ginal [D], Sen. Chris Hansen [D], Sen. Pete Lee [D], Sen. Dominick Moreno [D], Rep. Tammy Story [D], Sen. Faith Winter [D], Sen. Rachel Zenzinger [D], Rep. Jennifer Bacon [D], Rep. Shannon Bird [D], Rep. Andrew Boesenecker [D], Sen. Lisa Cutter [D], Rep. Daneya Esgar [D], Sen. Thomas Exum [D], Rep. Meg Froelich [D], Rep. Matt Gray [D], Rep. Leslie Herod [D], Rep. Dominique Jackson [D], Rep. Chris Kennedy [D], Sen. Cathy Kipp [D], Rep. Julie McCluskie [D], Rep. Karen McCormick [D], Rep. Barbara McLachlan [D], Rep. Emily Sirota [D], Sen. Tom Sullivan [D], Rep. Mary Young [D]</v>
      </c>
      <c r="H84" s="6">
        <f t="shared" si="23"/>
        <v>51</v>
      </c>
      <c r="I84" s="5">
        <v>31.0</v>
      </c>
      <c r="J84" s="5">
        <v>19.0</v>
      </c>
      <c r="K84" s="5">
        <v>1.0</v>
      </c>
      <c r="L84" s="6">
        <f t="shared" si="12"/>
        <v>0.6078431373</v>
      </c>
      <c r="M84" s="5">
        <v>30.0</v>
      </c>
      <c r="N84" s="5">
        <v>7.0</v>
      </c>
      <c r="O84" s="5">
        <v>11.0</v>
      </c>
      <c r="P84" s="5">
        <v>0.0</v>
      </c>
      <c r="Q84" s="5">
        <v>0.0</v>
      </c>
      <c r="R84" s="5">
        <v>0.0</v>
      </c>
      <c r="S84" s="5">
        <v>2.0</v>
      </c>
      <c r="T84" s="6">
        <f t="shared" si="13"/>
        <v>0.3921568627</v>
      </c>
      <c r="U84" s="5">
        <f t="shared" ref="U84:U98" si="27">IF(G84 = "", "", (LEN(G84) - LEN(SUBSTITUTE(G84, "[D]", ""))) / 3)</f>
        <v>51</v>
      </c>
      <c r="V84" s="5">
        <f t="shared" ref="V84:V98" si="28">IF(G84 = "", "", (LEN(G84) - LEN(SUBSTITUTE(G84, "[R]", ""))) / 3)</f>
        <v>0</v>
      </c>
      <c r="W84" s="5">
        <f t="shared" ref="W84:W98" si="29">IF(G84 = "", "", (LEN(G84) - LEN(SUBSTITUTE(G84, "[I]", ""))) / 3)</f>
        <v>0</v>
      </c>
      <c r="X84" s="6">
        <f t="shared" si="17"/>
        <v>1</v>
      </c>
    </row>
    <row r="85">
      <c r="A85" s="3" t="s">
        <v>72</v>
      </c>
      <c r="B85" s="3">
        <v>2021.0</v>
      </c>
      <c r="C85" s="3" t="s">
        <v>95</v>
      </c>
      <c r="D85" s="7" t="s">
        <v>234</v>
      </c>
      <c r="E85" s="3" t="s">
        <v>99</v>
      </c>
      <c r="F85" s="5" t="s">
        <v>235</v>
      </c>
      <c r="G85" s="5" t="str">
        <f>IFERROR(__xludf.DUMMYFUNCTION("""COMPUTED_VALUE"""),"Rep. Michelle Mussman [D], Rep. Deborah Conroy [D], Rep. Natalie Manley [D], Rep. Kelly Cassidy [D], Rep. Robyn Gabel [D], Rep. Lindsey LaPointe [D], Rep. Suzanne Ness [D], Rep. Margaret Croke [D], Rep. Will Guzzardi [D], Rep. Anna Moeller [D], Rep. Bob M"&amp;"organ [D], Rep. Joyce Mason [D], Rep. Kathleen Willis [D], Rep. Maura Hirschauer [D], Rep. Katie Stuart [D], Rep. Terra Costa Howard [D], Rep. Eva Dina Delgado [D], Rep. Anne Stava-Murray [D], Sen. Mark Walker [D], Rep. Daniel Didech [D], Rep. Jennifer Go"&amp;"ng-Gershowitz [D], Rep. Elizabeth Hernandez [D], Sen. Lakesia Collins [D], Rep. Carol Ammons [D], Rep. Barbara Hernandez [D], Rep. Aaron Ortiz [D], Rep. Dagmara Avelar [D], Rep. Jonathan Carroll [D], Rep. Delia Ramirez [D], Rep. Kambium Buckner [D], Rep. "&amp;"Emanuel Welch [D], Sen. Melinda Bush [D], Sen. Doris Turner [D], Sen. Laura Fine [D], Sen. Napoleon Harris [D]")</f>
        <v>Rep. Michelle Mussman [D], Rep. Deborah Conroy [D], Rep. Natalie Manley [D], Rep. Kelly Cassidy [D], Rep. Robyn Gabel [D], Rep. Lindsey LaPointe [D], Rep. Suzanne Ness [D], Rep. Margaret Croke [D], Rep. Will Guzzardi [D], Rep. Anna Moeller [D], Rep. Bob Morgan [D], Rep. Joyce Mason [D], Rep. Kathleen Willis [D], Rep. Maura Hirschauer [D], Rep. Katie Stuart [D], Rep. Terra Costa Howard [D], Rep. Eva Dina Delgado [D], Rep. Anne Stava-Murray [D], Sen. Mark Walker [D], Rep. Daniel Didech [D], Rep. Jennifer Gong-Gershowitz [D], Rep. Elizabeth Hernandez [D], Sen. Lakesia Collins [D], Rep. Carol Ammons [D], Rep. Barbara Hernandez [D], Rep. Aaron Ortiz [D], Rep. Dagmara Avelar [D], Rep. Jonathan Carroll [D], Rep. Delia Ramirez [D], Rep. Kambium Buckner [D], Rep. Emanuel Welch [D], Sen. Melinda Bush [D], Sen. Doris Turner [D], Sen. Laura Fine [D], Sen. Napoleon Harris [D]</v>
      </c>
      <c r="H85" s="6">
        <f t="shared" si="23"/>
        <v>35</v>
      </c>
      <c r="I85" s="5">
        <v>26.0</v>
      </c>
      <c r="J85" s="5">
        <v>9.0</v>
      </c>
      <c r="K85" s="5">
        <v>0.0</v>
      </c>
      <c r="L85" s="6">
        <f t="shared" si="12"/>
        <v>0.7428571429</v>
      </c>
      <c r="M85" s="5">
        <v>22.0</v>
      </c>
      <c r="N85" s="5">
        <v>6.0</v>
      </c>
      <c r="O85" s="5">
        <v>6.0</v>
      </c>
      <c r="P85" s="5">
        <v>1.0</v>
      </c>
      <c r="Q85" s="5">
        <v>0.0</v>
      </c>
      <c r="R85" s="5">
        <v>0.0</v>
      </c>
      <c r="S85" s="5">
        <v>0.0</v>
      </c>
      <c r="T85" s="6">
        <f t="shared" si="13"/>
        <v>0.3714285714</v>
      </c>
      <c r="U85" s="5">
        <f t="shared" si="27"/>
        <v>35</v>
      </c>
      <c r="V85" s="5">
        <f t="shared" si="28"/>
        <v>0</v>
      </c>
      <c r="W85" s="5">
        <f t="shared" si="29"/>
        <v>0</v>
      </c>
      <c r="X85" s="6">
        <f t="shared" si="17"/>
        <v>1</v>
      </c>
    </row>
    <row r="86">
      <c r="A86" s="3" t="s">
        <v>189</v>
      </c>
      <c r="B86" s="3">
        <v>2020.0</v>
      </c>
      <c r="C86" s="3" t="s">
        <v>197</v>
      </c>
      <c r="D86" s="12" t="s">
        <v>236</v>
      </c>
      <c r="E86" s="3" t="s">
        <v>199</v>
      </c>
      <c r="F86" s="5" t="s">
        <v>237</v>
      </c>
      <c r="G86" s="6" t="str">
        <f>IFERROR(__xludf.DUMMYFUNCTION("""COMPUTED_VALUE"""),"Sen. Andrew Zwicker [D], Rep. Carol Murphy [D], Rep. Shavonda Sumter [D], Sen. Teresa Ruiz [D], Sen. Nellie Pou [D], Rep. Valerie Huttle [D], Rep. Pamela Lampitt [D], Rep. Nancy Pinkin [D], Sen. Angela Mcknight [D], Rep. Clinton Calabrese [D], Rep. Gabrie"&amp;"la Mosquera [D], Rep. Mila Jasey [D], Sen. Britnee Timberlake [D], Sen. Linda Greenstein [D], Rep. Herbert Conaway [D], Rep. Roy Freiman [D], Rep. Joann Downey [D], Rep. Yvonne Lopez [D]")</f>
        <v>Sen. Andrew Zwicker [D], Rep. Carol Murphy [D], Rep. Shavonda Sumter [D], Sen. Teresa Ruiz [D], Sen. Nellie Pou [D], Rep. Valerie Huttle [D], Rep. Pamela Lampitt [D], Rep. Nancy Pinkin [D], Sen. Angela Mcknight [D], Rep. Clinton Calabrese [D], Rep. Gabriela Mosquera [D], Rep. Mila Jasey [D], Sen. Britnee Timberlake [D], Sen. Linda Greenstein [D], Rep. Herbert Conaway [D], Rep. Roy Freiman [D], Rep. Joann Downey [D], Rep. Yvonne Lopez [D]</v>
      </c>
      <c r="H86" s="6">
        <f t="shared" si="23"/>
        <v>18</v>
      </c>
      <c r="I86" s="5">
        <v>14.0</v>
      </c>
      <c r="J86" s="5">
        <v>4.0</v>
      </c>
      <c r="K86" s="5">
        <v>0.0</v>
      </c>
      <c r="L86" s="6">
        <f t="shared" si="12"/>
        <v>0.7777777778</v>
      </c>
      <c r="M86" s="5">
        <v>9.0</v>
      </c>
      <c r="N86" s="5">
        <v>5.0</v>
      </c>
      <c r="O86" s="5">
        <v>4.0</v>
      </c>
      <c r="P86" s="5">
        <v>0.0</v>
      </c>
      <c r="Q86" s="5">
        <v>0.0</v>
      </c>
      <c r="R86" s="5">
        <v>0.0</v>
      </c>
      <c r="S86" s="5">
        <v>0.0</v>
      </c>
      <c r="T86" s="6">
        <f t="shared" si="13"/>
        <v>0.5</v>
      </c>
      <c r="U86" s="5">
        <f t="shared" si="27"/>
        <v>18</v>
      </c>
      <c r="V86" s="5">
        <f t="shared" si="28"/>
        <v>0</v>
      </c>
      <c r="W86" s="5">
        <f t="shared" si="29"/>
        <v>0</v>
      </c>
      <c r="X86" s="6">
        <f t="shared" si="17"/>
        <v>1</v>
      </c>
    </row>
    <row r="87">
      <c r="A87" s="3" t="s">
        <v>138</v>
      </c>
      <c r="B87" s="3">
        <v>2020.0</v>
      </c>
      <c r="C87" s="3" t="s">
        <v>197</v>
      </c>
      <c r="D87" s="4" t="s">
        <v>238</v>
      </c>
      <c r="E87" s="3" t="s">
        <v>199</v>
      </c>
      <c r="F87" s="5" t="s">
        <v>239</v>
      </c>
      <c r="G87" s="5" t="str">
        <f>IFERROR(__xludf.DUMMYFUNCTION("""COMPUTED_VALUE"""),"Rep. Francis McFaun [R], Rep. Jessica Brumsted [D], Rep. Sandy Haas [D], Rep. Logan Nicoll [D], Rep. Daniel Noyes [D], Rep. Kelly Pajala [I], Rep. Ann Pugh [D], Rep. Carl Rosenquist [R], Rep. George Till [D], Rep. Theresa Wood [D], Rep. Marybeth Redmond ["&amp;"D]")</f>
        <v>Rep. Francis McFaun [R], Rep. Jessica Brumsted [D], Rep. Sandy Haas [D], Rep. Logan Nicoll [D], Rep. Daniel Noyes [D], Rep. Kelly Pajala [I], Rep. Ann Pugh [D], Rep. Carl Rosenquist [R], Rep. George Till [D], Rep. Theresa Wood [D], Rep. Marybeth Redmond [D]</v>
      </c>
      <c r="H87" s="6">
        <f t="shared" si="23"/>
        <v>11</v>
      </c>
      <c r="I87" s="5">
        <v>6.0</v>
      </c>
      <c r="J87" s="5">
        <v>5.0</v>
      </c>
      <c r="K87" s="5">
        <v>0.0</v>
      </c>
      <c r="L87" s="6">
        <f t="shared" si="12"/>
        <v>0.5454545455</v>
      </c>
      <c r="M87" s="5">
        <v>11.0</v>
      </c>
      <c r="N87" s="5">
        <v>0.0</v>
      </c>
      <c r="O87" s="5">
        <v>0.0</v>
      </c>
      <c r="P87" s="5">
        <v>0.0</v>
      </c>
      <c r="Q87" s="5">
        <v>0.0</v>
      </c>
      <c r="R87" s="5">
        <v>0.0</v>
      </c>
      <c r="S87" s="5">
        <v>0.0</v>
      </c>
      <c r="T87" s="6">
        <f t="shared" si="13"/>
        <v>0</v>
      </c>
      <c r="U87" s="7">
        <f t="shared" si="27"/>
        <v>8</v>
      </c>
      <c r="V87" s="7">
        <f t="shared" si="28"/>
        <v>2</v>
      </c>
      <c r="W87" s="7">
        <f t="shared" si="29"/>
        <v>1</v>
      </c>
      <c r="X87" s="6">
        <f t="shared" si="17"/>
        <v>0.7272727273</v>
      </c>
    </row>
    <row r="88">
      <c r="A88" s="3" t="s">
        <v>114</v>
      </c>
      <c r="B88" s="3">
        <v>2020.0</v>
      </c>
      <c r="C88" s="3" t="s">
        <v>30</v>
      </c>
      <c r="D88" s="7" t="s">
        <v>240</v>
      </c>
      <c r="E88" s="3" t="s">
        <v>36</v>
      </c>
      <c r="F88" s="5" t="s">
        <v>241</v>
      </c>
      <c r="G88" s="6" t="str">
        <f>IFERROR(__xludf.DUMMYFUNCTION("""COMPUTED_VALUE"""),"Del. Erek Barron [D], Del. Gabriel Acevero [D], Del. Curtis Anderson [D], Del. Darryl Barnes [D], Del. Talmadge Branch [D], Del. Tony Bridges [D], Sen. Benjamin Brooks [D], Del. Alfred Carr [D], Sen. Nick Charles [D], Del. Frank Conaway [D], Del. Dereck D"&amp;"avis [D], Del. Keith Haynes [D], Del. Marvin Holmes [D], Del. Julian Ivey [D], Sen. Carl Jackson [D], Sen. Michael Jackson [D], Del. Ken Kerr [D], Del. Nicholaus Kipke [R], Del. Jazz Lewis [D], Sen. Johnny Mautz [R], Del. Nick Mosby [D], Del. Julie Palako"&amp;"vich Carr [D], Del. Mike Rogers [D], Del. Jared Solomon [D], Del. Jay Walker [D], Sen. Alonzo Washington [D], Sen. Ron Watson [D], Del. Nicole Williams [D], Del. C.T. Wilson [D], Del. Heather Bagnall [D], Del. Harry Bhandari [D], Del. Brian Chisholm [R], "&amp;"Del. Bonnie Cullison [D], Del. Terri Hill [D], Del. Steve Johnson [D], Sen. Ariana Kelly [D], Del. Robbyn Lewis [D], Del. Matt Morgan [R], Del. Joseline Pena-Melnyk [D], Del. Shane Pendergrass [D], Del. Teresa Reilly [R], Del. Samuel Rosenberg [D], Del. S"&amp;"heree Sample-Hughes [D], Del. Kathy Szeliga [R], Sen. Karen Lewis Young [D]")</f>
        <v>Del. Erek Barron [D], Del. Gabriel Acevero [D], Del. Curtis Anderson [D], Del. Darryl Barnes [D], Del. Talmadge Branch [D], Del. Tony Bridges [D], Sen. Benjamin Brooks [D], Del. Alfred Carr [D], Sen. Nick Charles [D], Del. Frank Conaway [D], Del. Dereck Davis [D], Del. Keith Haynes [D], Del. Marvin Holmes [D], Del. Julian Ivey [D], Sen. Carl Jackson [D], Sen. Michael Jackson [D], Del. Ken Kerr [D], Del. Nicholaus Kipke [R], Del. Jazz Lewis [D], Sen. Johnny Mautz [R], Del. Nick Mosby [D], Del. Julie Palakovich Carr [D], Del. Mike Rogers [D], Del. Jared Solomon [D], Del. Jay Walker [D], Sen. Alonzo Washington [D], Sen. Ron Watson [D], Del. Nicole Williams [D], Del. C.T. Wilson [D], Del. Heather Bagnall [D], Del. Harry Bhandari [D], Del. Brian Chisholm [R], Del. Bonnie Cullison [D], Del. Terri Hill [D], Del. Steve Johnson [D], Sen. Ariana Kelly [D], Del. Robbyn Lewis [D], Del. Matt Morgan [R], Del. Joseline Pena-Melnyk [D], Del. Shane Pendergrass [D], Del. Teresa Reilly [R], Del. Samuel Rosenberg [D], Del. Sheree Sample-Hughes [D], Del. Kathy Szeliga [R], Sen. Karen Lewis Young [D]</v>
      </c>
      <c r="H88" s="6">
        <f t="shared" si="23"/>
        <v>45</v>
      </c>
      <c r="I88" s="5">
        <v>14.0</v>
      </c>
      <c r="J88" s="5">
        <v>31.0</v>
      </c>
      <c r="K88" s="5">
        <v>0.0</v>
      </c>
      <c r="L88" s="6">
        <f t="shared" si="12"/>
        <v>0.3111111111</v>
      </c>
      <c r="M88" s="5">
        <v>16.0</v>
      </c>
      <c r="N88" s="5">
        <v>28.0</v>
      </c>
      <c r="O88" s="5">
        <v>0.0</v>
      </c>
      <c r="P88" s="5">
        <v>1.0</v>
      </c>
      <c r="Q88" s="5">
        <v>0.0</v>
      </c>
      <c r="R88" s="5">
        <v>0.0</v>
      </c>
      <c r="S88" s="5">
        <v>0.0</v>
      </c>
      <c r="T88" s="6">
        <f t="shared" si="13"/>
        <v>0.6444444444</v>
      </c>
      <c r="U88" s="5">
        <f t="shared" si="27"/>
        <v>39</v>
      </c>
      <c r="V88" s="5">
        <f t="shared" si="28"/>
        <v>6</v>
      </c>
      <c r="W88" s="5">
        <f t="shared" si="29"/>
        <v>0</v>
      </c>
      <c r="X88" s="6">
        <f t="shared" si="17"/>
        <v>0.8666666667</v>
      </c>
    </row>
    <row r="89">
      <c r="A89" s="3" t="s">
        <v>108</v>
      </c>
      <c r="B89" s="3">
        <v>2020.0</v>
      </c>
      <c r="C89" s="3" t="s">
        <v>115</v>
      </c>
      <c r="D89" s="3" t="s">
        <v>242</v>
      </c>
      <c r="E89" s="3" t="s">
        <v>117</v>
      </c>
      <c r="F89" s="5" t="s">
        <v>243</v>
      </c>
      <c r="G89" s="6" t="str">
        <f>IFERROR(__xludf.DUMMYFUNCTION("""COMPUTED_VALUE"""),"Sen. Danica Roem [D] Del. Hala Ayala [D] Del. Jeffrey Bourne [D] Del. Lee Carter [D], Del. Karrie Delaney [D] Del. Wendy Gooditis [D] Del. Elizabeth Guzman [D] Del. Patrick Hope [D], Del. Chris Hurst [D] Del. Clinton Jenkins [D] Del. Jerrauld Jones [D] De"&amp;"l. Mark Levine [D], Del. Michael Mullin [D] Del. Marcia Price [D] Del. Sam Rasoul [D] Del. Ibraheem Samirah [D], Del. Mark Sickles [D] Sen. Suhas Subramanyam [D]")</f>
        <v>Sen. Danica Roem [D] Del. Hala Ayala [D] Del. Jeffrey Bourne [D] Del. Lee Carter [D], Del. Karrie Delaney [D] Del. Wendy Gooditis [D] Del. Elizabeth Guzman [D] Del. Patrick Hope [D], Del. Chris Hurst [D] Del. Clinton Jenkins [D] Del. Jerrauld Jones [D] Del. Mark Levine [D], Del. Michael Mullin [D] Del. Marcia Price [D] Del. Sam Rasoul [D] Del. Ibraheem Samirah [D], Del. Mark Sickles [D] Sen. Suhas Subramanyam [D]</v>
      </c>
      <c r="H89" s="6">
        <f t="shared" si="23"/>
        <v>18</v>
      </c>
      <c r="I89" s="5">
        <v>6.0</v>
      </c>
      <c r="J89" s="5">
        <v>11.0</v>
      </c>
      <c r="K89" s="5">
        <v>1.0</v>
      </c>
      <c r="L89" s="6">
        <f t="shared" si="12"/>
        <v>0.3333333333</v>
      </c>
      <c r="M89" s="5">
        <v>11.0</v>
      </c>
      <c r="N89" s="5">
        <v>4.0</v>
      </c>
      <c r="O89" s="5">
        <v>2.0</v>
      </c>
      <c r="P89" s="5">
        <v>1.0</v>
      </c>
      <c r="Q89" s="5">
        <v>0.0</v>
      </c>
      <c r="R89" s="5">
        <v>0.0</v>
      </c>
      <c r="S89" s="5">
        <v>0.0</v>
      </c>
      <c r="T89" s="6">
        <f t="shared" si="13"/>
        <v>0.3888888889</v>
      </c>
      <c r="U89" s="7">
        <f t="shared" si="27"/>
        <v>18</v>
      </c>
      <c r="V89" s="7">
        <f t="shared" si="28"/>
        <v>0</v>
      </c>
      <c r="W89" s="7">
        <f t="shared" si="29"/>
        <v>0</v>
      </c>
      <c r="X89" s="6">
        <f t="shared" si="17"/>
        <v>1</v>
      </c>
    </row>
    <row r="90">
      <c r="A90" s="3" t="s">
        <v>100</v>
      </c>
      <c r="B90" s="3">
        <v>2020.0</v>
      </c>
      <c r="C90" s="3" t="s">
        <v>44</v>
      </c>
      <c r="D90" s="4" t="s">
        <v>244</v>
      </c>
      <c r="E90" s="3" t="s">
        <v>245</v>
      </c>
      <c r="F90" s="5" t="s">
        <v>246</v>
      </c>
      <c r="G90" s="6" t="str">
        <f>IFERROR(__xludf.DUMMYFUNCTION("""COMPUTED_VALUE"""),"Rep. Kerry Tipper [D], Rep. Leslie Herod [D], Sen. Faith Winter [D], Sen. Steve Fenberg [D]")</f>
        <v>Rep. Kerry Tipper [D], Rep. Leslie Herod [D], Sen. Faith Winter [D], Sen. Steve Fenberg [D]</v>
      </c>
      <c r="H90" s="6">
        <f t="shared" si="23"/>
        <v>4</v>
      </c>
      <c r="I90" s="5">
        <v>3.0</v>
      </c>
      <c r="J90" s="5">
        <v>4.0</v>
      </c>
      <c r="K90" s="5">
        <v>0.0</v>
      </c>
      <c r="L90" s="6">
        <f t="shared" si="12"/>
        <v>0.75</v>
      </c>
      <c r="M90" s="5">
        <v>2.0</v>
      </c>
      <c r="N90" s="5">
        <v>1.0</v>
      </c>
      <c r="O90" s="5">
        <v>1.0</v>
      </c>
      <c r="P90" s="5">
        <v>0.0</v>
      </c>
      <c r="Q90" s="5">
        <v>0.0</v>
      </c>
      <c r="R90" s="5">
        <v>0.0</v>
      </c>
      <c r="S90" s="5">
        <v>0.0</v>
      </c>
      <c r="T90" s="6">
        <f t="shared" si="13"/>
        <v>0.5</v>
      </c>
      <c r="U90" s="5">
        <f t="shared" si="27"/>
        <v>4</v>
      </c>
      <c r="V90" s="5">
        <f t="shared" si="28"/>
        <v>0</v>
      </c>
      <c r="W90" s="5">
        <f t="shared" si="29"/>
        <v>0</v>
      </c>
      <c r="X90" s="6">
        <f t="shared" si="17"/>
        <v>1</v>
      </c>
    </row>
    <row r="91">
      <c r="A91" s="3" t="s">
        <v>114</v>
      </c>
      <c r="B91" s="3">
        <v>2020.0</v>
      </c>
      <c r="C91" s="3" t="s">
        <v>44</v>
      </c>
      <c r="D91" s="4" t="s">
        <v>247</v>
      </c>
      <c r="E91" s="3" t="s">
        <v>248</v>
      </c>
      <c r="F91" s="5" t="s">
        <v>249</v>
      </c>
      <c r="G91" s="6" t="str">
        <f>IFERROR(__xludf.DUMMYFUNCTION("""COMPUTED_VALUE"""),"Sen. Shelly Hettleman [D], Sen. Susan Lee [D]")</f>
        <v>Sen. Shelly Hettleman [D], Sen. Susan Lee [D]</v>
      </c>
      <c r="H91" s="6">
        <f t="shared" si="23"/>
        <v>2</v>
      </c>
      <c r="I91" s="5">
        <v>2.0</v>
      </c>
      <c r="J91" s="5">
        <v>0.0</v>
      </c>
      <c r="K91" s="5">
        <v>0.0</v>
      </c>
      <c r="L91" s="6">
        <f t="shared" si="12"/>
        <v>1</v>
      </c>
      <c r="M91" s="5">
        <v>1.0</v>
      </c>
      <c r="N91" s="5">
        <v>0.0</v>
      </c>
      <c r="O91" s="5">
        <v>0.0</v>
      </c>
      <c r="P91" s="5">
        <v>1.0</v>
      </c>
      <c r="Q91" s="5">
        <v>0.0</v>
      </c>
      <c r="R91" s="5">
        <v>0.0</v>
      </c>
      <c r="S91" s="5">
        <v>0.0</v>
      </c>
      <c r="T91" s="6">
        <f t="shared" si="13"/>
        <v>0.5</v>
      </c>
      <c r="U91" s="5">
        <f t="shared" si="27"/>
        <v>2</v>
      </c>
      <c r="V91" s="5">
        <f t="shared" si="28"/>
        <v>0</v>
      </c>
      <c r="W91" s="5">
        <f t="shared" si="29"/>
        <v>0</v>
      </c>
      <c r="X91" s="6">
        <f t="shared" si="17"/>
        <v>1</v>
      </c>
    </row>
    <row r="92">
      <c r="A92" s="3" t="s">
        <v>189</v>
      </c>
      <c r="B92" s="3">
        <v>2020.0</v>
      </c>
      <c r="C92" s="3" t="s">
        <v>44</v>
      </c>
      <c r="D92" s="4" t="s">
        <v>250</v>
      </c>
      <c r="E92" s="3" t="s">
        <v>161</v>
      </c>
      <c r="F92" s="5" t="s">
        <v>251</v>
      </c>
      <c r="G92" s="6" t="str">
        <f>IFERROR(__xludf.DUMMYFUNCTION("""COMPUTED_VALUE"""),"Sen. Nilsa Cruz-Perez [D], Sen. Teresa Ruiz [D], Rep. Pamela Lampitt [D], Sen. Britnee Timberlake [D], Rep. Gabriela Mosquera [D], Rep. Shavonda Sumter [D], Rep. Cleopatra Tucker [D], Rep. Verlina Reynolds-Jackson [D], Sen. James Beach [D], Sen. Linda Gre"&amp;"enstein [D], Sen. Nellie Pou [D], Rep. Eliana Marin [D], Rep. Joann Downey [D]")</f>
        <v>Sen. Nilsa Cruz-Perez [D], Sen. Teresa Ruiz [D], Rep. Pamela Lampitt [D], Sen. Britnee Timberlake [D], Rep. Gabriela Mosquera [D], Rep. Shavonda Sumter [D], Rep. Cleopatra Tucker [D], Rep. Verlina Reynolds-Jackson [D], Sen. James Beach [D], Sen. Linda Greenstein [D], Sen. Nellie Pou [D], Rep. Eliana Marin [D], Rep. Joann Downey [D]</v>
      </c>
      <c r="H92" s="6">
        <f t="shared" si="23"/>
        <v>13</v>
      </c>
      <c r="I92" s="5">
        <v>12.0</v>
      </c>
      <c r="J92" s="5">
        <v>1.0</v>
      </c>
      <c r="K92" s="5">
        <v>0.0</v>
      </c>
      <c r="L92" s="6">
        <f t="shared" si="12"/>
        <v>0.9230769231</v>
      </c>
      <c r="M92" s="5">
        <v>5.0</v>
      </c>
      <c r="N92" s="5">
        <v>4.0</v>
      </c>
      <c r="O92" s="5">
        <v>4.0</v>
      </c>
      <c r="P92" s="5">
        <v>0.0</v>
      </c>
      <c r="Q92" s="5">
        <v>0.0</v>
      </c>
      <c r="R92" s="5">
        <v>0.0</v>
      </c>
      <c r="S92" s="5">
        <v>0.0</v>
      </c>
      <c r="T92" s="6">
        <f t="shared" si="13"/>
        <v>0.6153846154</v>
      </c>
      <c r="U92" s="5">
        <f t="shared" si="27"/>
        <v>13</v>
      </c>
      <c r="V92" s="5">
        <f t="shared" si="28"/>
        <v>0</v>
      </c>
      <c r="W92" s="5">
        <f t="shared" si="29"/>
        <v>0</v>
      </c>
      <c r="X92" s="6">
        <f t="shared" si="17"/>
        <v>1</v>
      </c>
    </row>
    <row r="93">
      <c r="A93" s="8" t="s">
        <v>59</v>
      </c>
      <c r="B93" s="8">
        <v>2020.0</v>
      </c>
      <c r="C93" s="8" t="s">
        <v>39</v>
      </c>
      <c r="D93" s="9" t="s">
        <v>252</v>
      </c>
      <c r="E93" s="8" t="s">
        <v>41</v>
      </c>
      <c r="F93" s="5" t="s">
        <v>253</v>
      </c>
      <c r="G93" s="5" t="str">
        <f>IFERROR(__xludf.DUMMYFUNCTION("""COMPUTED_VALUE"""),"Sen. Michelle Benson [R], Sen. Rich Draheim [R], Sen. Justin Eichorn [R], Sen. Matt Klein [D], Sen. Karin Housley [R]")</f>
        <v>Sen. Michelle Benson [R], Sen. Rich Draheim [R], Sen. Justin Eichorn [R], Sen. Matt Klein [D], Sen. Karin Housley [R]</v>
      </c>
      <c r="H93" s="6">
        <f t="shared" si="23"/>
        <v>5</v>
      </c>
      <c r="I93" s="5">
        <v>2.0</v>
      </c>
      <c r="J93" s="5">
        <v>3.0</v>
      </c>
      <c r="K93" s="5">
        <v>0.0</v>
      </c>
      <c r="L93" s="6">
        <f t="shared" si="12"/>
        <v>0.4</v>
      </c>
      <c r="M93" s="5">
        <v>4.0</v>
      </c>
      <c r="N93" s="5">
        <v>0.0</v>
      </c>
      <c r="O93" s="5">
        <v>0.0</v>
      </c>
      <c r="P93" s="5">
        <v>0.0</v>
      </c>
      <c r="Q93" s="5">
        <v>0.0</v>
      </c>
      <c r="R93" s="5">
        <v>0.0</v>
      </c>
      <c r="S93" s="5">
        <v>0.0</v>
      </c>
      <c r="T93" s="6">
        <f t="shared" si="13"/>
        <v>0</v>
      </c>
      <c r="U93" s="5">
        <f t="shared" si="27"/>
        <v>1</v>
      </c>
      <c r="V93" s="5">
        <f t="shared" si="28"/>
        <v>4</v>
      </c>
      <c r="W93" s="5">
        <f t="shared" si="29"/>
        <v>0</v>
      </c>
      <c r="X93" s="6">
        <f t="shared" si="17"/>
        <v>0.2</v>
      </c>
    </row>
    <row r="94">
      <c r="A94" s="8" t="s">
        <v>138</v>
      </c>
      <c r="B94" s="8">
        <v>2020.0</v>
      </c>
      <c r="C94" s="8" t="s">
        <v>39</v>
      </c>
      <c r="D94" s="9" t="s">
        <v>238</v>
      </c>
      <c r="E94" s="8" t="s">
        <v>41</v>
      </c>
      <c r="F94" s="5" t="s">
        <v>239</v>
      </c>
      <c r="G94" s="5" t="str">
        <f>IFERROR(__xludf.DUMMYFUNCTION("""COMPUTED_VALUE"""),"Rep. Francis McFaun [R], Rep. Jessica Brumsted [D], Rep. Sandy Haas [D], Rep. Logan Nicoll [D], Rep. Daniel Noyes [D], Rep. Kelly Pajala [I], Rep. Ann Pugh [D], Rep. Carl Rosenquist [R], Rep. George Till [D], Rep. Theresa Wood [D], Rep. Marybeth Redmond ["&amp;"D]")</f>
        <v>Rep. Francis McFaun [R], Rep. Jessica Brumsted [D], Rep. Sandy Haas [D], Rep. Logan Nicoll [D], Rep. Daniel Noyes [D], Rep. Kelly Pajala [I], Rep. Ann Pugh [D], Rep. Carl Rosenquist [R], Rep. George Till [D], Rep. Theresa Wood [D], Rep. Marybeth Redmond [D]</v>
      </c>
      <c r="H94" s="6">
        <f t="shared" si="23"/>
        <v>11</v>
      </c>
      <c r="I94" s="5">
        <v>6.0</v>
      </c>
      <c r="J94" s="5">
        <v>5.0</v>
      </c>
      <c r="K94" s="5">
        <v>0.0</v>
      </c>
      <c r="L94" s="6">
        <f t="shared" si="12"/>
        <v>0.5454545455</v>
      </c>
      <c r="M94" s="5">
        <v>11.0</v>
      </c>
      <c r="N94" s="5">
        <v>0.0</v>
      </c>
      <c r="O94" s="5">
        <v>0.0</v>
      </c>
      <c r="P94" s="5">
        <v>0.0</v>
      </c>
      <c r="Q94" s="5">
        <v>0.0</v>
      </c>
      <c r="R94" s="5">
        <v>0.0</v>
      </c>
      <c r="S94" s="5">
        <v>0.0</v>
      </c>
      <c r="T94" s="6">
        <f t="shared" si="13"/>
        <v>0</v>
      </c>
      <c r="U94" s="7">
        <f t="shared" si="27"/>
        <v>8</v>
      </c>
      <c r="V94" s="7">
        <f t="shared" si="28"/>
        <v>2</v>
      </c>
      <c r="W94" s="7">
        <f t="shared" si="29"/>
        <v>1</v>
      </c>
      <c r="X94" s="6">
        <f t="shared" si="17"/>
        <v>0.7272727273</v>
      </c>
    </row>
    <row r="95">
      <c r="A95" s="8" t="s">
        <v>108</v>
      </c>
      <c r="B95" s="8">
        <v>2020.0</v>
      </c>
      <c r="C95" s="8" t="s">
        <v>39</v>
      </c>
      <c r="D95" s="9" t="s">
        <v>254</v>
      </c>
      <c r="E95" s="8" t="s">
        <v>255</v>
      </c>
      <c r="F95" s="5" t="s">
        <v>256</v>
      </c>
      <c r="G95" s="5" t="str">
        <f>IFERROR(__xludf.DUMMYFUNCTION("""COMPUTED_VALUE"""),"Sen. Barbara Favola [D], Sen. Jennifer Boysko [D]")</f>
        <v>Sen. Barbara Favola [D], Sen. Jennifer Boysko [D]</v>
      </c>
      <c r="H95" s="6">
        <f t="shared" si="23"/>
        <v>2</v>
      </c>
      <c r="I95" s="5">
        <v>2.0</v>
      </c>
      <c r="J95" s="5">
        <v>0.0</v>
      </c>
      <c r="K95" s="5">
        <v>0.0</v>
      </c>
      <c r="L95" s="6">
        <f t="shared" si="12"/>
        <v>1</v>
      </c>
      <c r="M95" s="5">
        <v>2.0</v>
      </c>
      <c r="N95" s="5">
        <v>0.0</v>
      </c>
      <c r="O95" s="5">
        <v>0.0</v>
      </c>
      <c r="P95" s="5">
        <v>0.0</v>
      </c>
      <c r="Q95" s="5">
        <v>0.0</v>
      </c>
      <c r="R95" s="5">
        <v>0.0</v>
      </c>
      <c r="S95" s="5">
        <v>0.0</v>
      </c>
      <c r="T95" s="6">
        <f t="shared" si="13"/>
        <v>0</v>
      </c>
      <c r="U95" s="7">
        <f t="shared" si="27"/>
        <v>2</v>
      </c>
      <c r="V95" s="7">
        <f t="shared" si="28"/>
        <v>0</v>
      </c>
      <c r="W95" s="7">
        <f t="shared" si="29"/>
        <v>0</v>
      </c>
      <c r="X95" s="6">
        <f t="shared" si="17"/>
        <v>1</v>
      </c>
    </row>
    <row r="96">
      <c r="A96" s="3" t="s">
        <v>189</v>
      </c>
      <c r="B96" s="3">
        <v>2020.0</v>
      </c>
      <c r="C96" s="3" t="s">
        <v>87</v>
      </c>
      <c r="D96" s="4" t="s">
        <v>236</v>
      </c>
      <c r="E96" s="3" t="s">
        <v>89</v>
      </c>
      <c r="F96" s="5" t="s">
        <v>257</v>
      </c>
      <c r="G96" s="5" t="str">
        <f>IFERROR(__xludf.DUMMYFUNCTION("""COMPUTED_VALUE"""),"Sen. Andrew Zwicker [D], Rep. Nicholas Chiaravalloti [D]")</f>
        <v>Sen. Andrew Zwicker [D], Rep. Nicholas Chiaravalloti [D]</v>
      </c>
      <c r="H96" s="6">
        <f t="shared" si="23"/>
        <v>2</v>
      </c>
      <c r="I96" s="5">
        <v>0.0</v>
      </c>
      <c r="J96" s="5">
        <v>2.0</v>
      </c>
      <c r="K96" s="5">
        <v>0.0</v>
      </c>
      <c r="L96" s="6">
        <f t="shared" si="12"/>
        <v>0</v>
      </c>
      <c r="M96" s="5">
        <v>2.0</v>
      </c>
      <c r="N96" s="5">
        <v>0.0</v>
      </c>
      <c r="O96" s="5">
        <v>0.0</v>
      </c>
      <c r="P96" s="5">
        <v>0.0</v>
      </c>
      <c r="Q96" s="5">
        <v>0.0</v>
      </c>
      <c r="R96" s="5">
        <v>0.0</v>
      </c>
      <c r="S96" s="5">
        <v>0.0</v>
      </c>
      <c r="T96" s="6">
        <f t="shared" si="13"/>
        <v>0</v>
      </c>
      <c r="U96" s="5">
        <f t="shared" si="27"/>
        <v>2</v>
      </c>
      <c r="V96" s="5">
        <f t="shared" si="28"/>
        <v>0</v>
      </c>
      <c r="W96" s="5">
        <f t="shared" si="29"/>
        <v>0</v>
      </c>
      <c r="X96" s="6">
        <f t="shared" si="17"/>
        <v>1</v>
      </c>
    </row>
    <row r="97">
      <c r="A97" s="3" t="s">
        <v>189</v>
      </c>
      <c r="B97" s="3">
        <v>2020.0</v>
      </c>
      <c r="C97" s="3" t="s">
        <v>90</v>
      </c>
      <c r="D97" s="4" t="s">
        <v>258</v>
      </c>
      <c r="E97" s="3" t="s">
        <v>259</v>
      </c>
      <c r="F97" s="5" t="s">
        <v>260</v>
      </c>
      <c r="G97" s="5" t="str">
        <f>IFERROR(__xludf.DUMMYFUNCTION("""COMPUTED_VALUE"""),"Sen. Shirley Turner [D] Sen. Teresa Ruiz [D] Rep. Valerie Huttle [D] Rep. Mila Jasey [D], Sen. Linda Greenstein [D] Sen. Joseph Lagana [D] Sen. Troy Singleton [D] Rep. Daniel Benson [D], Rep. Pamela Lampitt [D]")</f>
        <v>Sen. Shirley Turner [D] Sen. Teresa Ruiz [D] Rep. Valerie Huttle [D] Rep. Mila Jasey [D], Sen. Linda Greenstein [D] Sen. Joseph Lagana [D] Sen. Troy Singleton [D] Rep. Daniel Benson [D], Rep. Pamela Lampitt [D]</v>
      </c>
      <c r="H97" s="6">
        <f t="shared" si="23"/>
        <v>9</v>
      </c>
      <c r="I97" s="5">
        <v>6.0</v>
      </c>
      <c r="J97" s="5">
        <v>3.0</v>
      </c>
      <c r="K97" s="5">
        <v>0.0</v>
      </c>
      <c r="L97" s="6">
        <f t="shared" si="12"/>
        <v>0.6666666667</v>
      </c>
      <c r="M97" s="5">
        <v>7.0</v>
      </c>
      <c r="N97" s="5">
        <v>3.0</v>
      </c>
      <c r="O97" s="5">
        <v>1.0</v>
      </c>
      <c r="P97" s="5">
        <v>0.0</v>
      </c>
      <c r="Q97" s="5">
        <v>0.0</v>
      </c>
      <c r="R97" s="5">
        <v>0.0</v>
      </c>
      <c r="S97" s="5">
        <v>0.0</v>
      </c>
      <c r="T97" s="6">
        <f t="shared" si="13"/>
        <v>0.4444444444</v>
      </c>
      <c r="U97" s="5">
        <f t="shared" si="27"/>
        <v>9</v>
      </c>
      <c r="V97" s="5">
        <f t="shared" si="28"/>
        <v>0</v>
      </c>
      <c r="W97" s="5">
        <f t="shared" si="29"/>
        <v>0</v>
      </c>
      <c r="X97" s="6">
        <f t="shared" si="17"/>
        <v>1</v>
      </c>
    </row>
    <row r="98">
      <c r="A98" s="3" t="s">
        <v>261</v>
      </c>
      <c r="B98" s="3">
        <v>2020.0</v>
      </c>
      <c r="C98" s="3" t="s">
        <v>95</v>
      </c>
      <c r="D98" s="4" t="s">
        <v>262</v>
      </c>
      <c r="E98" s="3" t="s">
        <v>183</v>
      </c>
      <c r="F98" s="5" t="s">
        <v>263</v>
      </c>
      <c r="G98" s="5" t="str">
        <f>IFERROR(__xludf.DUMMYFUNCTION("""COMPUTED_VALUE"""),"Del. Rodney Pyles [D], Del. Mike Pushkin [D], Del. Cindy Lavender-Bowe [D], Del. Sammi Brown [D]")</f>
        <v>Del. Rodney Pyles [D], Del. Mike Pushkin [D], Del. Cindy Lavender-Bowe [D], Del. Sammi Brown [D]</v>
      </c>
      <c r="H98" s="6">
        <f t="shared" si="23"/>
        <v>4</v>
      </c>
      <c r="I98" s="5">
        <v>2.0</v>
      </c>
      <c r="J98" s="5">
        <v>2.0</v>
      </c>
      <c r="K98" s="5">
        <v>0.0</v>
      </c>
      <c r="L98" s="6">
        <f t="shared" si="12"/>
        <v>0.5</v>
      </c>
      <c r="M98" s="5">
        <v>3.0</v>
      </c>
      <c r="N98" s="5">
        <v>1.0</v>
      </c>
      <c r="O98" s="5">
        <v>0.0</v>
      </c>
      <c r="P98" s="5">
        <v>0.0</v>
      </c>
      <c r="Q98" s="5">
        <v>0.0</v>
      </c>
      <c r="R98" s="5">
        <v>0.0</v>
      </c>
      <c r="S98" s="5">
        <v>0.0</v>
      </c>
      <c r="T98" s="6">
        <f t="shared" si="13"/>
        <v>0.25</v>
      </c>
      <c r="U98" s="7">
        <f t="shared" si="27"/>
        <v>4</v>
      </c>
      <c r="V98" s="7">
        <f t="shared" si="28"/>
        <v>0</v>
      </c>
      <c r="W98" s="7">
        <f t="shared" si="29"/>
        <v>0</v>
      </c>
      <c r="X98" s="6">
        <f t="shared" si="17"/>
        <v>1</v>
      </c>
    </row>
    <row r="99">
      <c r="A99" s="3" t="s">
        <v>218</v>
      </c>
      <c r="B99" s="3">
        <v>2017.0</v>
      </c>
      <c r="C99" s="3" t="s">
        <v>95</v>
      </c>
      <c r="D99" s="4" t="s">
        <v>264</v>
      </c>
      <c r="E99" s="3" t="s">
        <v>183</v>
      </c>
      <c r="F99" s="5" t="s">
        <v>265</v>
      </c>
      <c r="G99" s="6" t="str">
        <f>IFERROR(__xludf.DUMMYFUNCTION("""COMPUTED_VALUE"""),"James Eldridge, Vinny deMacedo, Aaron Michlewitz, F. Jay Barrows, Eric Lesser, Shawn C. Dooley, Michael Finn, Joseph Boncore, John Keenan, Sal DiDomenico, Thomas Stanley, Chris Walsh, Marjorie Decker, Christine Barber, Michael Day, Jose Tosado, Dan Cahill")</f>
        <v>James Eldridge, Vinny deMacedo, Aaron Michlewitz, F. Jay Barrows, Eric Lesser, Shawn C. Dooley, Michael Finn, Joseph Boncore, John Keenan, Sal DiDomenico, Thomas Stanley, Chris Walsh, Marjorie Decker, Christine Barber, Michael Day, Jose Tosado, Dan Cahill</v>
      </c>
      <c r="H99" s="6">
        <f t="shared" si="23"/>
        <v>17</v>
      </c>
      <c r="I99" s="5">
        <v>2.0</v>
      </c>
      <c r="J99" s="5">
        <v>15.0</v>
      </c>
      <c r="K99" s="5">
        <v>0.0</v>
      </c>
      <c r="L99" s="6">
        <f t="shared" si="12"/>
        <v>0.1176470588</v>
      </c>
      <c r="M99" s="5">
        <v>16.0</v>
      </c>
      <c r="N99" s="5">
        <v>0.0</v>
      </c>
      <c r="O99" s="5">
        <v>1.0</v>
      </c>
      <c r="P99" s="5">
        <v>0.0</v>
      </c>
      <c r="Q99" s="5">
        <v>0.0</v>
      </c>
      <c r="R99" s="5">
        <v>0.0</v>
      </c>
      <c r="S99" s="5">
        <v>0.0</v>
      </c>
      <c r="T99" s="6">
        <f t="shared" si="13"/>
        <v>0.05882352941</v>
      </c>
      <c r="U99" s="5">
        <v>14.0</v>
      </c>
      <c r="V99" s="5">
        <v>3.0</v>
      </c>
      <c r="W99" s="5">
        <v>0.0</v>
      </c>
      <c r="X99" s="6">
        <f t="shared" si="17"/>
        <v>0.8235294118</v>
      </c>
    </row>
    <row r="100">
      <c r="A100" s="3" t="s">
        <v>218</v>
      </c>
      <c r="B100" s="3">
        <v>2017.0</v>
      </c>
      <c r="C100" s="3" t="s">
        <v>90</v>
      </c>
      <c r="D100" s="4" t="s">
        <v>264</v>
      </c>
      <c r="E100" s="3" t="s">
        <v>127</v>
      </c>
      <c r="F100" s="5" t="s">
        <v>265</v>
      </c>
      <c r="G100" s="6" t="str">
        <f>IFERROR(__xludf.DUMMYFUNCTION("""COMPUTED_VALUE"""),"James Eldridge, Vinny deMacedo, Aaron Michlewitz, F. Jay Barrows, Eric Lesser, Shawn C. Dooley, Michael Finn, Joseph Boncore, John Keenan, Sal DiDomenico, Thomas Stanley, Chris Walsh, Marjorie Decker, Christine Barber, Michael Day, Jose Tosado, Dan Cahill")</f>
        <v>James Eldridge, Vinny deMacedo, Aaron Michlewitz, F. Jay Barrows, Eric Lesser, Shawn C. Dooley, Michael Finn, Joseph Boncore, John Keenan, Sal DiDomenico, Thomas Stanley, Chris Walsh, Marjorie Decker, Christine Barber, Michael Day, Jose Tosado, Dan Cahill</v>
      </c>
      <c r="H100" s="6">
        <f t="shared" si="23"/>
        <v>17</v>
      </c>
      <c r="I100" s="5">
        <v>2.0</v>
      </c>
      <c r="J100" s="5">
        <v>15.0</v>
      </c>
      <c r="K100" s="5">
        <v>0.0</v>
      </c>
      <c r="L100" s="6">
        <f t="shared" si="12"/>
        <v>0.1176470588</v>
      </c>
      <c r="M100" s="5">
        <v>16.0</v>
      </c>
      <c r="N100" s="5">
        <v>0.0</v>
      </c>
      <c r="O100" s="5">
        <v>1.0</v>
      </c>
      <c r="P100" s="5">
        <v>0.0</v>
      </c>
      <c r="Q100" s="5">
        <v>0.0</v>
      </c>
      <c r="R100" s="5">
        <v>0.0</v>
      </c>
      <c r="S100" s="5">
        <v>0.0</v>
      </c>
      <c r="T100" s="6">
        <f t="shared" si="13"/>
        <v>0.05882352941</v>
      </c>
      <c r="U100" s="5">
        <v>14.0</v>
      </c>
      <c r="V100" s="5">
        <v>3.0</v>
      </c>
      <c r="W100" s="5">
        <v>0.0</v>
      </c>
      <c r="X100" s="6">
        <f t="shared" si="17"/>
        <v>0.8235294118</v>
      </c>
    </row>
    <row r="101">
      <c r="A101" s="8" t="s">
        <v>218</v>
      </c>
      <c r="B101" s="8">
        <v>2017.0</v>
      </c>
      <c r="C101" s="8" t="s">
        <v>39</v>
      </c>
      <c r="D101" s="9" t="s">
        <v>264</v>
      </c>
      <c r="E101" s="8" t="s">
        <v>41</v>
      </c>
      <c r="F101" s="5" t="s">
        <v>265</v>
      </c>
      <c r="G101" s="6" t="str">
        <f>IFERROR(__xludf.DUMMYFUNCTION("""COMPUTED_VALUE"""),"James Eldridge, Vinny deMacedo, Aaron Michlewitz, F. Jay Barrows, Eric Lesser, Shawn C. Dooley, Michael Finn, Joseph Boncore, John Keenan, Sal DiDomenico, Thomas Stanley, Chris Walsh, Marjorie Decker, Christine Barber, Michael Day, Jose Tosado, Dan Cahill")</f>
        <v>James Eldridge, Vinny deMacedo, Aaron Michlewitz, F. Jay Barrows, Eric Lesser, Shawn C. Dooley, Michael Finn, Joseph Boncore, John Keenan, Sal DiDomenico, Thomas Stanley, Chris Walsh, Marjorie Decker, Christine Barber, Michael Day, Jose Tosado, Dan Cahill</v>
      </c>
      <c r="H101" s="6">
        <f t="shared" si="23"/>
        <v>17</v>
      </c>
      <c r="I101" s="5">
        <v>2.0</v>
      </c>
      <c r="J101" s="5">
        <v>15.0</v>
      </c>
      <c r="K101" s="5">
        <v>0.0</v>
      </c>
      <c r="L101" s="6">
        <f t="shared" si="12"/>
        <v>0.1176470588</v>
      </c>
      <c r="M101" s="5">
        <v>16.0</v>
      </c>
      <c r="N101" s="5">
        <v>0.0</v>
      </c>
      <c r="O101" s="5">
        <v>1.0</v>
      </c>
      <c r="P101" s="5">
        <v>0.0</v>
      </c>
      <c r="Q101" s="5">
        <v>0.0</v>
      </c>
      <c r="R101" s="5">
        <v>0.0</v>
      </c>
      <c r="S101" s="5">
        <v>0.0</v>
      </c>
      <c r="T101" s="6">
        <f t="shared" si="13"/>
        <v>0.05882352941</v>
      </c>
      <c r="U101" s="5">
        <v>14.0</v>
      </c>
      <c r="V101" s="5">
        <v>3.0</v>
      </c>
      <c r="W101" s="5">
        <v>0.0</v>
      </c>
      <c r="X101" s="6">
        <f t="shared" si="17"/>
        <v>0.8235294118</v>
      </c>
    </row>
    <row r="102">
      <c r="A102" s="3" t="s">
        <v>266</v>
      </c>
      <c r="B102" s="3">
        <v>2019.0</v>
      </c>
      <c r="C102" s="3" t="s">
        <v>197</v>
      </c>
      <c r="D102" s="4" t="s">
        <v>141</v>
      </c>
      <c r="E102" s="3" t="s">
        <v>199</v>
      </c>
      <c r="F102" s="5" t="s">
        <v>267</v>
      </c>
      <c r="G102" s="6" t="str">
        <f>IFERROR(__xludf.DUMMYFUNCTION("""COMPUTED_VALUE"""),"Rep. Deborah Armstrong [D], Sen. Elizabeth Stefanics [D]")</f>
        <v>Rep. Deborah Armstrong [D], Sen. Elizabeth Stefanics [D]</v>
      </c>
      <c r="H102" s="6">
        <f t="shared" si="23"/>
        <v>2</v>
      </c>
      <c r="I102" s="5">
        <v>2.0</v>
      </c>
      <c r="J102" s="5">
        <v>0.0</v>
      </c>
      <c r="K102" s="5">
        <v>0.0</v>
      </c>
      <c r="L102" s="6">
        <f t="shared" si="12"/>
        <v>1</v>
      </c>
      <c r="M102" s="5">
        <v>2.0</v>
      </c>
      <c r="N102" s="5">
        <v>0.0</v>
      </c>
      <c r="O102" s="5">
        <v>0.0</v>
      </c>
      <c r="P102" s="5">
        <v>0.0</v>
      </c>
      <c r="Q102" s="5">
        <v>0.0</v>
      </c>
      <c r="R102" s="5">
        <v>0.0</v>
      </c>
      <c r="S102" s="5">
        <v>0.0</v>
      </c>
      <c r="T102" s="6">
        <f t="shared" si="13"/>
        <v>0</v>
      </c>
      <c r="U102" s="5">
        <f t="shared" ref="U102:U127" si="30">IF(G102 = "", "", (LEN(G102) - LEN(SUBSTITUTE(G102, "[D]", ""))) / 3)</f>
        <v>2</v>
      </c>
      <c r="V102" s="5">
        <f t="shared" ref="V102:V132" si="31">IF(G102 = "", "", (LEN(G102) - LEN(SUBSTITUTE(G102, "[R]", ""))) / 3)</f>
        <v>0</v>
      </c>
      <c r="W102" s="5">
        <f t="shared" ref="W102:W139" si="32">IF(G102 = "", "", (LEN(G102) - LEN(SUBSTITUTE(G102, "[I]", ""))) / 3)</f>
        <v>0</v>
      </c>
      <c r="X102" s="6">
        <f t="shared" si="17"/>
        <v>1</v>
      </c>
    </row>
    <row r="103">
      <c r="A103" s="3" t="s">
        <v>62</v>
      </c>
      <c r="B103" s="3">
        <v>2019.0</v>
      </c>
      <c r="C103" s="3" t="s">
        <v>197</v>
      </c>
      <c r="D103" s="4" t="s">
        <v>268</v>
      </c>
      <c r="E103" s="3" t="s">
        <v>199</v>
      </c>
      <c r="F103" s="5" t="s">
        <v>269</v>
      </c>
      <c r="G103" s="6" t="str">
        <f>IFERROR(__xludf.DUMMYFUNCTION("""COMPUTED_VALUE"""),"Sen. Julia Salazar [D], Sen. Jen Metzger [D], Sen. Joseph Addabbo [D], Sen. Jamaal Bailey [D], Sen. Brian Benjamin [D], Sen. Alessandra Biaggi [D], Sen. Neil Breslin [D], Sen. John Brooks [D], Sen. David Carlucci [D], Sen. Leroy Comrie [D], Sen. James Gau"&amp;"ghran [D], Sen. Michael Gianaris [D], Sen. Andrew Gounardes [D], Sen. Peter Harckham [D], Sen. Brad Hoylman-Sigal [D], Sen. Robert Jackson [D], Sen. Todd Kaminsky [D], Sen. Anna Kaplan [D], Sen. Brian Kavanagh [D], Sen. Timothy Kennedy [D], Sen. Liz Krueg"&amp;"er [D], Sen. John Liu [D], Sen. Monica Martinez [D], Sen. Rachel May [D], Sen. Shelley Mayer [D], Sen. Velmanette Montgomery [D], Sen. Zellnor Myrie [D], Sen. Kevin Parker [D], Sen. Roxanne Persaud [D], Sen. Jessica Ramos [D], Sen. Gustavo Rivera [D], Sen"&amp;". James Sanders [D], Sen. Diane Savino [D], Sen. Luis Sepulveda [D], Sen. Jose Serrano [D], Sen. James Skoufis [D], Sen. Toby Stavisky [D], Sen. Andrea Stewart-Cousins [D], Sen. Kevin Thomas [D]")</f>
        <v>Sen. Julia Salazar [D], Sen. Jen Metzger [D], Sen. Joseph Addabbo [D], Sen. Jamaal Bailey [D], Sen. Brian Benjamin [D], Sen. Alessandra Biaggi [D], Sen. Neil Breslin [D], Sen. John Brooks [D], Sen. David Carlucci [D], Sen. Leroy Comrie [D], Sen. James Gaughran [D], Sen. Michael Gianaris [D], Sen. Andrew Gounardes [D], Sen. Peter Harckham [D], Sen. Brad Hoylman-Sigal [D], Sen. Robert Jackson [D], Sen. Todd Kaminsky [D], Sen. Anna Kaplan [D], Sen. Brian Kavanagh [D], Sen. Timothy Kennedy [D], Sen. Liz Krueger [D], Sen. John Liu [D], Sen. Monica Martinez [D], Sen. Rachel May [D], Sen. Shelley Mayer [D], Sen. Velmanette Montgomery [D], Sen. Zellnor Myrie [D], Sen. Kevin Parker [D], Sen. Roxanne Persaud [D], Sen. Jessica Ramos [D], Sen. Gustavo Rivera [D], Sen. James Sanders [D], Sen. Diane Savino [D], Sen. Luis Sepulveda [D], Sen. Jose Serrano [D], Sen. James Skoufis [D], Sen. Toby Stavisky [D], Sen. Andrea Stewart-Cousins [D], Sen. Kevin Thomas [D]</v>
      </c>
      <c r="H103" s="6">
        <f t="shared" si="23"/>
        <v>39</v>
      </c>
      <c r="I103" s="5">
        <v>14.0</v>
      </c>
      <c r="J103" s="5">
        <v>25.0</v>
      </c>
      <c r="K103" s="5">
        <v>0.0</v>
      </c>
      <c r="L103" s="6">
        <f t="shared" si="12"/>
        <v>0.358974359</v>
      </c>
      <c r="M103" s="5">
        <v>21.0</v>
      </c>
      <c r="N103" s="5">
        <v>10.0</v>
      </c>
      <c r="O103" s="5">
        <v>6.0</v>
      </c>
      <c r="P103" s="5">
        <v>2.0</v>
      </c>
      <c r="Q103" s="5">
        <v>0.0</v>
      </c>
      <c r="R103" s="5">
        <v>0.0</v>
      </c>
      <c r="S103" s="5">
        <v>0.0</v>
      </c>
      <c r="T103" s="6">
        <f t="shared" si="13"/>
        <v>0.4615384615</v>
      </c>
      <c r="U103" s="5">
        <f t="shared" si="30"/>
        <v>39</v>
      </c>
      <c r="V103" s="5">
        <f t="shared" si="31"/>
        <v>0</v>
      </c>
      <c r="W103" s="5">
        <f t="shared" si="32"/>
        <v>0</v>
      </c>
      <c r="X103" s="6">
        <f t="shared" si="17"/>
        <v>1</v>
      </c>
    </row>
    <row r="104">
      <c r="A104" s="3" t="s">
        <v>270</v>
      </c>
      <c r="B104" s="3">
        <v>2019.0</v>
      </c>
      <c r="C104" s="3" t="s">
        <v>30</v>
      </c>
      <c r="D104" s="4" t="s">
        <v>271</v>
      </c>
      <c r="E104" s="3" t="s">
        <v>36</v>
      </c>
      <c r="F104" s="5" t="s">
        <v>272</v>
      </c>
      <c r="G104" s="5" t="str">
        <f>IFERROR(__xludf.DUMMYFUNCTION("""COMPUTED_VALUE"""),"Sen. Marty Harbin [R], Sen. Burt Jones [R], Sen. Larry Walker [R], Rep. Richard Smith [R]")</f>
        <v>Sen. Marty Harbin [R], Sen. Burt Jones [R], Sen. Larry Walker [R], Rep. Richard Smith [R]</v>
      </c>
      <c r="H104" s="6">
        <f t="shared" si="23"/>
        <v>4</v>
      </c>
      <c r="I104" s="5">
        <v>4.0</v>
      </c>
      <c r="J104" s="5">
        <v>0.0</v>
      </c>
      <c r="K104" s="5">
        <v>0.0</v>
      </c>
      <c r="L104" s="6">
        <f t="shared" si="12"/>
        <v>1</v>
      </c>
      <c r="M104" s="5">
        <v>4.0</v>
      </c>
      <c r="N104" s="5">
        <v>0.0</v>
      </c>
      <c r="O104" s="5">
        <v>0.0</v>
      </c>
      <c r="P104" s="5">
        <v>0.0</v>
      </c>
      <c r="Q104" s="5">
        <v>0.0</v>
      </c>
      <c r="R104" s="5">
        <v>0.0</v>
      </c>
      <c r="S104" s="5">
        <v>0.0</v>
      </c>
      <c r="T104" s="6">
        <f t="shared" si="13"/>
        <v>0</v>
      </c>
      <c r="U104" s="5">
        <f t="shared" si="30"/>
        <v>0</v>
      </c>
      <c r="V104" s="5">
        <f t="shared" si="31"/>
        <v>4</v>
      </c>
      <c r="W104" s="5">
        <f t="shared" si="32"/>
        <v>0</v>
      </c>
      <c r="X104" s="6">
        <f t="shared" si="17"/>
        <v>0</v>
      </c>
    </row>
    <row r="105">
      <c r="A105" s="3" t="s">
        <v>273</v>
      </c>
      <c r="B105" s="3">
        <v>2019.0</v>
      </c>
      <c r="C105" s="3" t="s">
        <v>44</v>
      </c>
      <c r="D105" s="4" t="s">
        <v>274</v>
      </c>
      <c r="E105" s="3" t="s">
        <v>74</v>
      </c>
      <c r="F105" s="5" t="s">
        <v>275</v>
      </c>
      <c r="G105" s="6" t="str">
        <f>IFERROR(__xludf.DUMMYFUNCTION("""COMPUTED_VALUE"""),"Sen. Martha Hennessey [D] Sen. Thomas Sherman [D] Sen. Melanie Levesque [D] Sen. Jay Kahn [D], Sen. Kevin Cavanaugh [D] Sen. Jeb Bradley [R] Sen. Charles Morse [R]")</f>
        <v>Sen. Martha Hennessey [D] Sen. Thomas Sherman [D] Sen. Melanie Levesque [D] Sen. Jay Kahn [D], Sen. Kevin Cavanaugh [D] Sen. Jeb Bradley [R] Sen. Charles Morse [R]</v>
      </c>
      <c r="H105" s="6">
        <f t="shared" si="23"/>
        <v>7</v>
      </c>
      <c r="I105" s="5">
        <v>2.0</v>
      </c>
      <c r="J105" s="5">
        <v>5.0</v>
      </c>
      <c r="K105" s="5">
        <v>0.0</v>
      </c>
      <c r="L105" s="6">
        <f t="shared" si="12"/>
        <v>0.2857142857</v>
      </c>
      <c r="M105" s="5">
        <v>6.0</v>
      </c>
      <c r="N105" s="5">
        <v>1.0</v>
      </c>
      <c r="O105" s="5">
        <v>0.0</v>
      </c>
      <c r="P105" s="5">
        <v>0.0</v>
      </c>
      <c r="Q105" s="5">
        <v>0.0</v>
      </c>
      <c r="R105" s="5">
        <v>0.0</v>
      </c>
      <c r="S105" s="5">
        <v>0.0</v>
      </c>
      <c r="T105" s="6">
        <f t="shared" si="13"/>
        <v>0.1428571429</v>
      </c>
      <c r="U105" s="5">
        <f t="shared" si="30"/>
        <v>5</v>
      </c>
      <c r="V105" s="5">
        <f t="shared" si="31"/>
        <v>2</v>
      </c>
      <c r="W105" s="5">
        <f t="shared" si="32"/>
        <v>0</v>
      </c>
      <c r="X105" s="6">
        <f t="shared" si="17"/>
        <v>0.7142857143</v>
      </c>
    </row>
    <row r="106">
      <c r="A106" s="8" t="s">
        <v>270</v>
      </c>
      <c r="B106" s="8">
        <v>2019.0</v>
      </c>
      <c r="C106" s="8" t="s">
        <v>39</v>
      </c>
      <c r="D106" s="10" t="s">
        <v>271</v>
      </c>
      <c r="E106" s="8" t="s">
        <v>41</v>
      </c>
      <c r="F106" s="5" t="s">
        <v>272</v>
      </c>
      <c r="G106" s="5" t="str">
        <f>IFERROR(__xludf.DUMMYFUNCTION("""COMPUTED_VALUE"""),"Sen. Marty Harbin [R], Sen. Burt Jones [R], Sen. Larry Walker [R], Rep. Richard Smith [R]")</f>
        <v>Sen. Marty Harbin [R], Sen. Burt Jones [R], Sen. Larry Walker [R], Rep. Richard Smith [R]</v>
      </c>
      <c r="H106" s="6">
        <f t="shared" si="23"/>
        <v>4</v>
      </c>
      <c r="I106" s="5">
        <v>4.0</v>
      </c>
      <c r="J106" s="5">
        <v>0.0</v>
      </c>
      <c r="K106" s="5">
        <v>0.0</v>
      </c>
      <c r="L106" s="6">
        <f t="shared" si="12"/>
        <v>1</v>
      </c>
      <c r="M106" s="5">
        <v>4.0</v>
      </c>
      <c r="N106" s="5">
        <v>0.0</v>
      </c>
      <c r="O106" s="5">
        <v>0.0</v>
      </c>
      <c r="P106" s="5">
        <v>0.0</v>
      </c>
      <c r="Q106" s="5">
        <v>0.0</v>
      </c>
      <c r="R106" s="5">
        <v>0.0</v>
      </c>
      <c r="S106" s="5">
        <v>0.0</v>
      </c>
      <c r="T106" s="6">
        <f t="shared" si="13"/>
        <v>0</v>
      </c>
      <c r="U106" s="5">
        <f t="shared" si="30"/>
        <v>0</v>
      </c>
      <c r="V106" s="5">
        <f t="shared" si="31"/>
        <v>4</v>
      </c>
      <c r="W106" s="5">
        <f t="shared" si="32"/>
        <v>0</v>
      </c>
      <c r="X106" s="6">
        <f t="shared" si="17"/>
        <v>0</v>
      </c>
    </row>
    <row r="107">
      <c r="A107" s="8" t="s">
        <v>203</v>
      </c>
      <c r="B107" s="8">
        <v>2019.0</v>
      </c>
      <c r="C107" s="8" t="s">
        <v>39</v>
      </c>
      <c r="D107" s="10" t="s">
        <v>229</v>
      </c>
      <c r="E107" s="8" t="s">
        <v>41</v>
      </c>
      <c r="F107" s="5" t="s">
        <v>276</v>
      </c>
      <c r="G107" s="5" t="str">
        <f>IFERROR(__xludf.DUMMYFUNCTION("""COMPUTED_VALUE"""),"Sen. Kalani English [D]")</f>
        <v>Sen. Kalani English [D]</v>
      </c>
      <c r="H107" s="6">
        <f t="shared" si="23"/>
        <v>1</v>
      </c>
      <c r="I107" s="5">
        <v>1.0</v>
      </c>
      <c r="J107" s="5">
        <v>0.0</v>
      </c>
      <c r="K107" s="5">
        <v>0.0</v>
      </c>
      <c r="L107" s="6">
        <f t="shared" si="12"/>
        <v>1</v>
      </c>
      <c r="M107" s="5">
        <v>0.0</v>
      </c>
      <c r="N107" s="5">
        <v>0.0</v>
      </c>
      <c r="O107" s="5">
        <v>0.0</v>
      </c>
      <c r="P107" s="5">
        <v>0.0</v>
      </c>
      <c r="Q107" s="5">
        <v>0.0</v>
      </c>
      <c r="R107" s="5">
        <v>1.0</v>
      </c>
      <c r="S107" s="5">
        <v>0.0</v>
      </c>
      <c r="T107" s="6">
        <f t="shared" si="13"/>
        <v>1</v>
      </c>
      <c r="U107" s="5">
        <f t="shared" si="30"/>
        <v>1</v>
      </c>
      <c r="V107" s="5">
        <f t="shared" si="31"/>
        <v>0</v>
      </c>
      <c r="W107" s="5">
        <f t="shared" si="32"/>
        <v>0</v>
      </c>
      <c r="X107" s="6">
        <f t="shared" si="17"/>
        <v>1</v>
      </c>
    </row>
    <row r="108">
      <c r="A108" s="8" t="s">
        <v>131</v>
      </c>
      <c r="B108" s="8">
        <v>2019.0</v>
      </c>
      <c r="C108" s="8" t="s">
        <v>39</v>
      </c>
      <c r="D108" s="9" t="s">
        <v>277</v>
      </c>
      <c r="E108" s="8" t="s">
        <v>41</v>
      </c>
      <c r="F108" s="5" t="s">
        <v>278</v>
      </c>
      <c r="G108" s="5" t="str">
        <f>IFERROR(__xludf.DUMMYFUNCTION("""COMPUTED_VALUE"""),"Sen. Nicole Cannizzaro [D], Sen. Yvanna Cancela [D], Sen. Julia Ratti [D], Sen. Joyce Woodhouse [D]")</f>
        <v>Sen. Nicole Cannizzaro [D], Sen. Yvanna Cancela [D], Sen. Julia Ratti [D], Sen. Joyce Woodhouse [D]</v>
      </c>
      <c r="H108" s="6">
        <f t="shared" si="23"/>
        <v>4</v>
      </c>
      <c r="I108" s="5">
        <v>4.0</v>
      </c>
      <c r="J108" s="5">
        <v>0.0</v>
      </c>
      <c r="K108" s="5">
        <v>0.0</v>
      </c>
      <c r="L108" s="6">
        <f t="shared" si="12"/>
        <v>1</v>
      </c>
      <c r="M108" s="5">
        <v>3.0</v>
      </c>
      <c r="N108" s="5">
        <v>0.0</v>
      </c>
      <c r="O108" s="5">
        <v>1.0</v>
      </c>
      <c r="P108" s="5">
        <v>0.0</v>
      </c>
      <c r="Q108" s="5">
        <v>0.0</v>
      </c>
      <c r="R108" s="5">
        <v>0.0</v>
      </c>
      <c r="S108" s="5">
        <v>0.0</v>
      </c>
      <c r="T108" s="6">
        <f t="shared" si="13"/>
        <v>0.25</v>
      </c>
      <c r="U108" s="5">
        <f t="shared" si="30"/>
        <v>4</v>
      </c>
      <c r="V108" s="5">
        <f t="shared" si="31"/>
        <v>0</v>
      </c>
      <c r="W108" s="5">
        <f t="shared" si="32"/>
        <v>0</v>
      </c>
      <c r="X108" s="6">
        <f t="shared" si="17"/>
        <v>1</v>
      </c>
    </row>
    <row r="109">
      <c r="A109" s="8" t="s">
        <v>189</v>
      </c>
      <c r="B109" s="8">
        <v>2019.0</v>
      </c>
      <c r="C109" s="8" t="s">
        <v>39</v>
      </c>
      <c r="D109" s="9" t="s">
        <v>236</v>
      </c>
      <c r="E109" s="8" t="s">
        <v>41</v>
      </c>
      <c r="F109" s="5" t="s">
        <v>279</v>
      </c>
      <c r="G109" s="5" t="str">
        <f>IFERROR(__xludf.DUMMYFUNCTION("""COMPUTED_VALUE"""),"Sen. Andrew Zwicker [D], Rep. Carol Murphy [D], Rep. Shavonda Sumter [D], Sen. Teresa Ruiz [D], Sen. Nellie Pou [D], Rep. Valerie Huttle [D], Rep. Pamela Lampitt [D], Rep. Nancy Pinkin [D], Sen. Angela Mcknight [D], Rep. Clinton Calabrese [D], Rep. Gabrie"&amp;"la Mosquera [D], Rep. Mila Jasey [D], Sen. Britnee Timberlake [D], Sen. Linda Greenstein [D], Rep. Herbert Conaway [D], Rep. Roy Freiman [D], Rep. Joann Downey [D], Rep. Yvonne Lopez [D]")</f>
        <v>Sen. Andrew Zwicker [D], Rep. Carol Murphy [D], Rep. Shavonda Sumter [D], Sen. Teresa Ruiz [D], Sen. Nellie Pou [D], Rep. Valerie Huttle [D], Rep. Pamela Lampitt [D], Rep. Nancy Pinkin [D], Sen. Angela Mcknight [D], Rep. Clinton Calabrese [D], Rep. Gabriela Mosquera [D], Rep. Mila Jasey [D], Sen. Britnee Timberlake [D], Sen. Linda Greenstein [D], Rep. Herbert Conaway [D], Rep. Roy Freiman [D], Rep. Joann Downey [D], Rep. Yvonne Lopez [D]</v>
      </c>
      <c r="H109" s="6">
        <f t="shared" si="23"/>
        <v>18</v>
      </c>
      <c r="I109" s="5">
        <v>14.0</v>
      </c>
      <c r="J109" s="5">
        <v>4.0</v>
      </c>
      <c r="K109" s="5">
        <v>0.0</v>
      </c>
      <c r="L109" s="6">
        <f t="shared" si="12"/>
        <v>0.7777777778</v>
      </c>
      <c r="M109" s="5">
        <v>9.0</v>
      </c>
      <c r="N109" s="5">
        <v>5.0</v>
      </c>
      <c r="O109" s="5">
        <v>4.0</v>
      </c>
      <c r="P109" s="5">
        <v>0.0</v>
      </c>
      <c r="Q109" s="5">
        <v>0.0</v>
      </c>
      <c r="R109" s="5">
        <v>0.0</v>
      </c>
      <c r="S109" s="5">
        <v>0.0</v>
      </c>
      <c r="T109" s="6">
        <f t="shared" si="13"/>
        <v>0.5</v>
      </c>
      <c r="U109" s="5">
        <f t="shared" si="30"/>
        <v>18</v>
      </c>
      <c r="V109" s="5">
        <f t="shared" si="31"/>
        <v>0</v>
      </c>
      <c r="W109" s="5">
        <f t="shared" si="32"/>
        <v>0</v>
      </c>
      <c r="X109" s="6">
        <f t="shared" si="17"/>
        <v>1</v>
      </c>
    </row>
    <row r="110">
      <c r="A110" s="8" t="s">
        <v>266</v>
      </c>
      <c r="B110" s="8">
        <v>2019.0</v>
      </c>
      <c r="C110" s="8" t="s">
        <v>39</v>
      </c>
      <c r="D110" s="9" t="s">
        <v>141</v>
      </c>
      <c r="E110" s="8" t="s">
        <v>41</v>
      </c>
      <c r="F110" s="5" t="s">
        <v>280</v>
      </c>
      <c r="G110" s="5" t="str">
        <f>IFERROR(__xludf.DUMMYFUNCTION("""COMPUTED_VALUE"""),"Rep. Deborah Armstrong [D], Sen. Elizabeth Stefanics [D]")</f>
        <v>Rep. Deborah Armstrong [D], Sen. Elizabeth Stefanics [D]</v>
      </c>
      <c r="H110" s="6">
        <f t="shared" si="23"/>
        <v>2</v>
      </c>
      <c r="I110" s="5">
        <v>2.0</v>
      </c>
      <c r="J110" s="5">
        <v>0.0</v>
      </c>
      <c r="K110" s="5">
        <v>0.0</v>
      </c>
      <c r="L110" s="6">
        <f t="shared" si="12"/>
        <v>1</v>
      </c>
      <c r="M110" s="5">
        <v>2.0</v>
      </c>
      <c r="N110" s="5">
        <v>0.0</v>
      </c>
      <c r="O110" s="5">
        <v>0.0</v>
      </c>
      <c r="P110" s="5">
        <v>0.0</v>
      </c>
      <c r="Q110" s="5">
        <v>0.0</v>
      </c>
      <c r="R110" s="5">
        <v>0.0</v>
      </c>
      <c r="S110" s="5">
        <v>0.0</v>
      </c>
      <c r="T110" s="6">
        <f t="shared" si="13"/>
        <v>0</v>
      </c>
      <c r="U110" s="5">
        <f t="shared" si="30"/>
        <v>2</v>
      </c>
      <c r="V110" s="5">
        <f t="shared" si="31"/>
        <v>0</v>
      </c>
      <c r="W110" s="5">
        <f t="shared" si="32"/>
        <v>0</v>
      </c>
      <c r="X110" s="6">
        <f t="shared" si="17"/>
        <v>1</v>
      </c>
    </row>
    <row r="111">
      <c r="A111" s="8" t="s">
        <v>62</v>
      </c>
      <c r="B111" s="8">
        <v>2019.0</v>
      </c>
      <c r="C111" s="8" t="s">
        <v>39</v>
      </c>
      <c r="D111" s="9" t="s">
        <v>268</v>
      </c>
      <c r="E111" s="8" t="s">
        <v>41</v>
      </c>
      <c r="F111" s="5" t="s">
        <v>281</v>
      </c>
      <c r="G111" s="5" t="str">
        <f>IFERROR(__xludf.DUMMYFUNCTION("""COMPUTED_VALUE"""),"Sen. Julia Salazar [D], Sen. Jen Metzger [D], Sen. Joseph Addabbo [D], Sen. Jamaal Bailey [D], Sen. Brian Benjamin [D], Sen. Alessandra Biaggi [D], Sen. Neil Breslin [D], Sen. John Brooks [D], Sen. David Carlucci [D], Sen. Leroy Comrie [D], Sen. James Gau"&amp;"ghran [D], Sen. Michael Gianaris [D], Sen. Andrew Gounardes [D], Sen. Peter Harckham [D], Sen. Brad Hoylman-Sigal [D], Sen. Robert Jackson [D], Sen. Todd Kaminsky [D], Sen. Anna Kaplan [D], Sen. Brian Kavanagh [D], Sen. Timothy Kennedy [D], Sen. Liz Krueg"&amp;"er [D], Sen. John Liu [D], Sen. Monica Martinez [D], Sen. Rachel May [D], Sen. Shelley Mayer [D], Sen. Velmanette Montgomery [D], Sen. Zellnor Myrie [D], Sen. Kevin Parker [D], Sen. Roxanne Persaud [D], Sen. Jessica Ramos [D], Sen. Gustavo Rivera [D], Sen"&amp;". James Sanders [D], Sen. Diane Savino [D], Sen. Luis Sepulveda [D], Sen. Jose Serrano [D], Sen. James Skoufis [D], Sen. Toby Stavisky [D], Sen. Andrea Stewart-Cousins [D], Sen. Kevin Thomas [D]")</f>
        <v>Sen. Julia Salazar [D], Sen. Jen Metzger [D], Sen. Joseph Addabbo [D], Sen. Jamaal Bailey [D], Sen. Brian Benjamin [D], Sen. Alessandra Biaggi [D], Sen. Neil Breslin [D], Sen. John Brooks [D], Sen. David Carlucci [D], Sen. Leroy Comrie [D], Sen. James Gaughran [D], Sen. Michael Gianaris [D], Sen. Andrew Gounardes [D], Sen. Peter Harckham [D], Sen. Brad Hoylman-Sigal [D], Sen. Robert Jackson [D], Sen. Todd Kaminsky [D], Sen. Anna Kaplan [D], Sen. Brian Kavanagh [D], Sen. Timothy Kennedy [D], Sen. Liz Krueger [D], Sen. John Liu [D], Sen. Monica Martinez [D], Sen. Rachel May [D], Sen. Shelley Mayer [D], Sen. Velmanette Montgomery [D], Sen. Zellnor Myrie [D], Sen. Kevin Parker [D], Sen. Roxanne Persaud [D], Sen. Jessica Ramos [D], Sen. Gustavo Rivera [D], Sen. James Sanders [D], Sen. Diane Savino [D], Sen. Luis Sepulveda [D], Sen. Jose Serrano [D], Sen. James Skoufis [D], Sen. Toby Stavisky [D], Sen. Andrea Stewart-Cousins [D], Sen. Kevin Thomas [D]</v>
      </c>
      <c r="H111" s="6">
        <f t="shared" si="23"/>
        <v>39</v>
      </c>
      <c r="I111" s="5">
        <v>14.0</v>
      </c>
      <c r="J111" s="5">
        <v>25.0</v>
      </c>
      <c r="K111" s="5">
        <v>0.0</v>
      </c>
      <c r="L111" s="6">
        <f t="shared" si="12"/>
        <v>0.358974359</v>
      </c>
      <c r="M111" s="5">
        <v>21.0</v>
      </c>
      <c r="N111" s="5">
        <v>10.0</v>
      </c>
      <c r="O111" s="5">
        <v>6.0</v>
      </c>
      <c r="P111" s="5">
        <v>2.0</v>
      </c>
      <c r="Q111" s="5">
        <v>0.0</v>
      </c>
      <c r="R111" s="5">
        <v>0.0</v>
      </c>
      <c r="S111" s="5">
        <v>0.0</v>
      </c>
      <c r="T111" s="6">
        <f t="shared" si="13"/>
        <v>0.4615384615</v>
      </c>
      <c r="U111" s="5">
        <f t="shared" si="30"/>
        <v>39</v>
      </c>
      <c r="V111" s="5">
        <f t="shared" si="31"/>
        <v>0</v>
      </c>
      <c r="W111" s="5">
        <f t="shared" si="32"/>
        <v>0</v>
      </c>
      <c r="X111" s="6">
        <f t="shared" si="17"/>
        <v>1</v>
      </c>
    </row>
    <row r="112">
      <c r="A112" s="3" t="s">
        <v>156</v>
      </c>
      <c r="B112" s="3">
        <v>2021.0</v>
      </c>
      <c r="C112" s="3" t="s">
        <v>25</v>
      </c>
      <c r="D112" s="4" t="s">
        <v>282</v>
      </c>
      <c r="E112" s="7" t="s">
        <v>283</v>
      </c>
      <c r="F112" s="5" t="s">
        <v>284</v>
      </c>
      <c r="G112" s="5" t="str">
        <f>IFERROR(__xludf.DUMMYFUNCTION("""COMPUTED_VALUE"""),"Rep. Jane Gillette [R]")</f>
        <v>Rep. Jane Gillette [R]</v>
      </c>
      <c r="H112" s="6">
        <f t="shared" si="23"/>
        <v>1</v>
      </c>
      <c r="I112" s="5">
        <v>1.0</v>
      </c>
      <c r="J112" s="5">
        <v>0.0</v>
      </c>
      <c r="K112" s="5">
        <v>0.0</v>
      </c>
      <c r="L112" s="6">
        <f t="shared" si="12"/>
        <v>1</v>
      </c>
      <c r="M112" s="5">
        <v>1.0</v>
      </c>
      <c r="N112" s="5">
        <v>0.0</v>
      </c>
      <c r="O112" s="5">
        <v>0.0</v>
      </c>
      <c r="P112" s="5">
        <v>0.0</v>
      </c>
      <c r="Q112" s="5">
        <v>0.0</v>
      </c>
      <c r="R112" s="5">
        <v>0.0</v>
      </c>
      <c r="S112" s="5">
        <v>0.0</v>
      </c>
      <c r="T112" s="6">
        <f t="shared" si="13"/>
        <v>0</v>
      </c>
      <c r="U112" s="5">
        <f t="shared" si="30"/>
        <v>0</v>
      </c>
      <c r="V112" s="5">
        <f t="shared" si="31"/>
        <v>1</v>
      </c>
      <c r="W112" s="5">
        <f t="shared" si="32"/>
        <v>0</v>
      </c>
      <c r="X112" s="6">
        <f t="shared" si="17"/>
        <v>0</v>
      </c>
    </row>
    <row r="113">
      <c r="A113" s="8" t="s">
        <v>261</v>
      </c>
      <c r="B113" s="8">
        <v>2019.0</v>
      </c>
      <c r="C113" s="8" t="s">
        <v>39</v>
      </c>
      <c r="D113" s="9" t="s">
        <v>285</v>
      </c>
      <c r="E113" s="8" t="s">
        <v>41</v>
      </c>
      <c r="F113" s="5" t="s">
        <v>286</v>
      </c>
      <c r="G113" s="5" t="str">
        <f>IFERROR(__xludf.DUMMYFUNCTION("""COMPUTED_VALUE"""),"Del. Jordan Hill [R] Del. Joe Ellington [R] Del. Mike Pushkin [D] Del. Matthew Rohrbach [R], Del. Barbara Fleischauer [D] Del. Danielle Walker [D] Del. Margaret Staggers [D] Del. Pat McGeehan [R], Del. Amy Summers [R] Del. John Doyle [D]")</f>
        <v>Del. Jordan Hill [R] Del. Joe Ellington [R] Del. Mike Pushkin [D] Del. Matthew Rohrbach [R], Del. Barbara Fleischauer [D] Del. Danielle Walker [D] Del. Margaret Staggers [D] Del. Pat McGeehan [R], Del. Amy Summers [R] Del. John Doyle [D]</v>
      </c>
      <c r="H113" s="6">
        <f t="shared" si="23"/>
        <v>10</v>
      </c>
      <c r="I113" s="5">
        <v>4.0</v>
      </c>
      <c r="J113" s="5">
        <v>6.0</v>
      </c>
      <c r="K113" s="5">
        <v>0.0</v>
      </c>
      <c r="L113" s="6">
        <f t="shared" si="12"/>
        <v>0.4</v>
      </c>
      <c r="M113" s="5">
        <v>9.0</v>
      </c>
      <c r="N113" s="5">
        <v>1.0</v>
      </c>
      <c r="O113" s="5">
        <v>0.0</v>
      </c>
      <c r="P113" s="5">
        <v>0.0</v>
      </c>
      <c r="Q113" s="5">
        <v>0.0</v>
      </c>
      <c r="R113" s="5">
        <v>0.0</v>
      </c>
      <c r="S113" s="5">
        <v>0.0</v>
      </c>
      <c r="T113" s="6">
        <f t="shared" si="13"/>
        <v>0.1</v>
      </c>
      <c r="U113" s="7">
        <f t="shared" si="30"/>
        <v>5</v>
      </c>
      <c r="V113" s="7">
        <f t="shared" si="31"/>
        <v>5</v>
      </c>
      <c r="W113" s="7">
        <f t="shared" si="32"/>
        <v>0</v>
      </c>
      <c r="X113" s="6">
        <f t="shared" si="17"/>
        <v>0.5</v>
      </c>
    </row>
    <row r="114">
      <c r="A114" s="3" t="s">
        <v>266</v>
      </c>
      <c r="B114" s="3">
        <v>2019.0</v>
      </c>
      <c r="C114" s="3" t="s">
        <v>87</v>
      </c>
      <c r="D114" s="7" t="s">
        <v>141</v>
      </c>
      <c r="E114" s="3" t="s">
        <v>89</v>
      </c>
      <c r="F114" s="5" t="s">
        <v>280</v>
      </c>
      <c r="G114" s="5" t="str">
        <f>IFERROR(__xludf.DUMMYFUNCTION("""COMPUTED_VALUE"""),"Rep. Deborah Armstrong [D], Sen. Elizabeth Stefanics [D]")</f>
        <v>Rep. Deborah Armstrong [D], Sen. Elizabeth Stefanics [D]</v>
      </c>
      <c r="H114" s="6">
        <f t="shared" si="23"/>
        <v>2</v>
      </c>
      <c r="I114" s="5">
        <v>2.0</v>
      </c>
      <c r="J114" s="5">
        <v>0.0</v>
      </c>
      <c r="K114" s="5">
        <v>0.0</v>
      </c>
      <c r="L114" s="6">
        <f t="shared" si="12"/>
        <v>1</v>
      </c>
      <c r="M114" s="5">
        <v>2.0</v>
      </c>
      <c r="N114" s="5">
        <v>0.0</v>
      </c>
      <c r="O114" s="5">
        <v>0.0</v>
      </c>
      <c r="P114" s="5">
        <v>0.0</v>
      </c>
      <c r="Q114" s="5">
        <v>0.0</v>
      </c>
      <c r="R114" s="5">
        <v>0.0</v>
      </c>
      <c r="S114" s="5">
        <v>0.0</v>
      </c>
      <c r="T114" s="6">
        <f t="shared" si="13"/>
        <v>0</v>
      </c>
      <c r="U114" s="5">
        <f t="shared" si="30"/>
        <v>2</v>
      </c>
      <c r="V114" s="5">
        <f t="shared" si="31"/>
        <v>0</v>
      </c>
      <c r="W114" s="5">
        <f t="shared" si="32"/>
        <v>0</v>
      </c>
      <c r="X114" s="6">
        <f t="shared" si="17"/>
        <v>1</v>
      </c>
    </row>
    <row r="115">
      <c r="A115" s="3" t="s">
        <v>62</v>
      </c>
      <c r="B115" s="3">
        <v>2019.0</v>
      </c>
      <c r="C115" s="3" t="s">
        <v>87</v>
      </c>
      <c r="D115" s="4" t="s">
        <v>287</v>
      </c>
      <c r="E115" s="3" t="s">
        <v>89</v>
      </c>
      <c r="F115" s="5" t="s">
        <v>281</v>
      </c>
      <c r="G115" s="5" t="str">
        <f>IFERROR(__xludf.DUMMYFUNCTION("""COMPUTED_VALUE"""),"Sen. Julia Salazar [D], Sen. Jen Metzger [D], Sen. Joseph Addabbo [D], Sen. Jamaal Bailey [D], Sen. Brian Benjamin [D], Sen. Alessandra Biaggi [D], Sen. Neil Breslin [D], Sen. John Brooks [D], Sen. David Carlucci [D], Sen. Leroy Comrie [D], Sen. James Gau"&amp;"ghran [D], Sen. Michael Gianaris [D], Sen. Andrew Gounardes [D], Sen. Peter Harckham [D], Sen. Brad Hoylman-Sigal [D], Sen. Robert Jackson [D], Sen. Todd Kaminsky [D], Sen. Anna Kaplan [D], Sen. Brian Kavanagh [D], Sen. Timothy Kennedy [D], Sen. Liz Krueg"&amp;"er [D], Sen. John Liu [D], Sen. Monica Martinez [D], Sen. Rachel May [D], Sen. Shelley Mayer [D], Sen. Velmanette Montgomery [D], Sen. Zellnor Myrie [D], Sen. Kevin Parker [D], Sen. Roxanne Persaud [D], Sen. Jessica Ramos [D], Sen. Gustavo Rivera [D], Sen"&amp;". James Sanders [D], Sen. Diane Savino [D], Sen. Luis Sepulveda [D], Sen. Jose Serrano [D], Sen. James Skoufis [D], Sen. Toby Stavisky [D], Sen. Andrea Stewart-Cousins [D], Sen. Kevin Thomas [D]")</f>
        <v>Sen. Julia Salazar [D], Sen. Jen Metzger [D], Sen. Joseph Addabbo [D], Sen. Jamaal Bailey [D], Sen. Brian Benjamin [D], Sen. Alessandra Biaggi [D], Sen. Neil Breslin [D], Sen. John Brooks [D], Sen. David Carlucci [D], Sen. Leroy Comrie [D], Sen. James Gaughran [D], Sen. Michael Gianaris [D], Sen. Andrew Gounardes [D], Sen. Peter Harckham [D], Sen. Brad Hoylman-Sigal [D], Sen. Robert Jackson [D], Sen. Todd Kaminsky [D], Sen. Anna Kaplan [D], Sen. Brian Kavanagh [D], Sen. Timothy Kennedy [D], Sen. Liz Krueger [D], Sen. John Liu [D], Sen. Monica Martinez [D], Sen. Rachel May [D], Sen. Shelley Mayer [D], Sen. Velmanette Montgomery [D], Sen. Zellnor Myrie [D], Sen. Kevin Parker [D], Sen. Roxanne Persaud [D], Sen. Jessica Ramos [D], Sen. Gustavo Rivera [D], Sen. James Sanders [D], Sen. Diane Savino [D], Sen. Luis Sepulveda [D], Sen. Jose Serrano [D], Sen. James Skoufis [D], Sen. Toby Stavisky [D], Sen. Andrea Stewart-Cousins [D], Sen. Kevin Thomas [D]</v>
      </c>
      <c r="H115" s="6">
        <f t="shared" si="23"/>
        <v>39</v>
      </c>
      <c r="I115" s="5">
        <v>14.0</v>
      </c>
      <c r="J115" s="5">
        <v>25.0</v>
      </c>
      <c r="K115" s="5">
        <v>0.0</v>
      </c>
      <c r="L115" s="6">
        <f t="shared" si="12"/>
        <v>0.358974359</v>
      </c>
      <c r="M115" s="5">
        <v>21.0</v>
      </c>
      <c r="N115" s="5">
        <v>10.0</v>
      </c>
      <c r="O115" s="5">
        <v>6.0</v>
      </c>
      <c r="P115" s="5">
        <v>2.0</v>
      </c>
      <c r="Q115" s="5">
        <v>0.0</v>
      </c>
      <c r="R115" s="5">
        <v>0.0</v>
      </c>
      <c r="S115" s="5">
        <v>0.0</v>
      </c>
      <c r="T115" s="6">
        <f t="shared" si="13"/>
        <v>0.4615384615</v>
      </c>
      <c r="U115" s="5">
        <f t="shared" si="30"/>
        <v>39</v>
      </c>
      <c r="V115" s="5">
        <f t="shared" si="31"/>
        <v>0</v>
      </c>
      <c r="W115" s="5">
        <f t="shared" si="32"/>
        <v>0</v>
      </c>
      <c r="X115" s="6">
        <f t="shared" si="17"/>
        <v>1</v>
      </c>
    </row>
    <row r="116">
      <c r="A116" s="3" t="s">
        <v>72</v>
      </c>
      <c r="B116" s="3">
        <v>2019.0</v>
      </c>
      <c r="C116" s="3" t="s">
        <v>90</v>
      </c>
      <c r="D116" s="7" t="s">
        <v>229</v>
      </c>
      <c r="E116" s="3" t="s">
        <v>176</v>
      </c>
      <c r="F116" s="5" t="s">
        <v>288</v>
      </c>
      <c r="G116" s="5" t="str">
        <f>IFERROR(__xludf.DUMMYFUNCTION("""COMPUTED_VALUE"""),"Sen. Melinda Bush [D], Sen. Elgie Sims [D], Sen. Linda Holmes [D], Sen. Cristina Castro [D], Sen. Omar Aquino [D], Sen. Kimberly Lightford [D], Sen. Robert Peters [D], Sen. Iris Martinez [D], Sen. Mattie Hunter [D], Sen. Emil Jones [D], Sen. Ann Gillespie"&amp;" [D], Sen. Michael Hastings [D], Sen. Ram Villivalam [D], Sen. Martin Sandoval [D], Sen. Laura Fine [D], Sen. Don Harmon [D], Rep. Kelly Cassidy [D], Rep. Emanuel Welch [D], Sen. Sara Feigenholtz [D], Rep. Marcus Evans [D], Rep. Jehan Gordon-Booth [D], Se"&amp;"n. Karina Villa [D], Rep. Will Guzzardi [D], Rep. Elizabeth Hernandez [D], Rep. Jennifer Gong-Gershowitz [D], Sen. Diane Pappas [D], Rep. Nicholas Smith [D], Rep. Latoya Greenwood [D], Rep. Ann Williams [D], Rep. Deborah Conroy [D], Rep. Daniel Didech [D]"&amp;", Rep. Anne Stava-Murray [D], Rep. Anna Moeller [D], Rep. Gregory Harris [D], Sen. Celina Villanueva [D], Rep. Katie Stuart [D], Rep. Barbara Hernandez [D], Rep. Robyn Gabel [D], Rep. Michelle Mussman [D], Sen. John Connor [D], Rep. Jonathan Carroll [D], "&amp;"Rep. Jaime Andrade [D], Rep. Kathleen Willis [D], Rep. Carol Ammons [D], Rep. Delia Ramirez [D], Rep. Justin Slaughter [D], Sen. Robert Martwick [D], Rep. Sonya Harper [D], Rep. Jawaharial Williams [D], Rep. Natalie Manley [D], Rep. Aaron Ortiz [D], Rep. "&amp;"Bob Morgan [D]")</f>
        <v>Sen. Melinda Bush [D], Sen. Elgie Sims [D], Sen. Linda Holmes [D], Sen. Cristina Castro [D], Sen. Omar Aquino [D], Sen. Kimberly Lightford [D], Sen. Robert Peters [D], Sen. Iris Martinez [D], Sen. Mattie Hunter [D], Sen. Emil Jones [D], Sen. Ann Gillespie [D], Sen. Michael Hastings [D], Sen. Ram Villivalam [D], Sen. Martin Sandoval [D], Sen. Laura Fine [D], Sen. Don Harmon [D], Rep. Kelly Cassidy [D], Rep. Emanuel Welch [D], Sen. Sara Feigenholtz [D], Rep. Marcus Evans [D], Rep. Jehan Gordon-Booth [D], Sen. Karina Villa [D], Rep. Will Guzzardi [D], Rep. Elizabeth Hernandez [D], Rep. Jennifer Gong-Gershowitz [D], Sen. Diane Pappas [D], Rep. Nicholas Smith [D], Rep. Latoya Greenwood [D], Rep. Ann Williams [D], Rep. Deborah Conroy [D], Rep. Daniel Didech [D], Rep. Anne Stava-Murray [D], Rep. Anna Moeller [D], Rep. Gregory Harris [D], Sen. Celina Villanueva [D], Rep. Katie Stuart [D], Rep. Barbara Hernandez [D], Rep. Robyn Gabel [D], Rep. Michelle Mussman [D], Sen. John Connor [D], Rep. Jonathan Carroll [D], Rep. Jaime Andrade [D], Rep. Kathleen Willis [D], Rep. Carol Ammons [D], Rep. Delia Ramirez [D], Rep. Justin Slaughter [D], Sen. Robert Martwick [D], Rep. Sonya Harper [D], Rep. Jawaharial Williams [D], Rep. Natalie Manley [D], Rep. Aaron Ortiz [D], Rep. Bob Morgan [D]</v>
      </c>
      <c r="H116" s="6">
        <f t="shared" si="23"/>
        <v>52</v>
      </c>
      <c r="I116" s="5">
        <v>31.0</v>
      </c>
      <c r="J116" s="5">
        <v>21.0</v>
      </c>
      <c r="K116" s="5">
        <v>0.0</v>
      </c>
      <c r="L116" s="6">
        <f t="shared" si="12"/>
        <v>0.5961538462</v>
      </c>
      <c r="M116" s="5">
        <v>19.0</v>
      </c>
      <c r="N116" s="5">
        <v>10.0</v>
      </c>
      <c r="O116" s="5">
        <v>8.0</v>
      </c>
      <c r="P116" s="5">
        <v>2.0</v>
      </c>
      <c r="Q116" s="5">
        <v>0.0</v>
      </c>
      <c r="R116" s="5">
        <v>0.0</v>
      </c>
      <c r="S116" s="5">
        <v>0.0</v>
      </c>
      <c r="T116" s="6">
        <f t="shared" si="13"/>
        <v>0.3846153846</v>
      </c>
      <c r="U116" s="5">
        <f t="shared" si="30"/>
        <v>52</v>
      </c>
      <c r="V116" s="5">
        <f t="shared" si="31"/>
        <v>0</v>
      </c>
      <c r="W116" s="5">
        <f t="shared" si="32"/>
        <v>0</v>
      </c>
      <c r="X116" s="6">
        <f t="shared" si="17"/>
        <v>1</v>
      </c>
    </row>
    <row r="117">
      <c r="A117" s="3" t="s">
        <v>266</v>
      </c>
      <c r="B117" s="3">
        <v>2019.0</v>
      </c>
      <c r="C117" s="3" t="s">
        <v>90</v>
      </c>
      <c r="D117" s="4" t="s">
        <v>141</v>
      </c>
      <c r="E117" s="3" t="s">
        <v>127</v>
      </c>
      <c r="F117" s="5" t="s">
        <v>280</v>
      </c>
      <c r="G117" s="5" t="str">
        <f>IFERROR(__xludf.DUMMYFUNCTION("""COMPUTED_VALUE"""),"Rep. Deborah Armstrong [D], Sen. Elizabeth Stefanics [D]")</f>
        <v>Rep. Deborah Armstrong [D], Sen. Elizabeth Stefanics [D]</v>
      </c>
      <c r="H117" s="6">
        <f t="shared" si="23"/>
        <v>2</v>
      </c>
      <c r="I117" s="5">
        <v>2.0</v>
      </c>
      <c r="J117" s="5">
        <v>0.0</v>
      </c>
      <c r="K117" s="5">
        <v>0.0</v>
      </c>
      <c r="L117" s="6">
        <f t="shared" si="12"/>
        <v>1</v>
      </c>
      <c r="M117" s="5">
        <v>2.0</v>
      </c>
      <c r="N117" s="5">
        <v>0.0</v>
      </c>
      <c r="O117" s="5">
        <v>0.0</v>
      </c>
      <c r="P117" s="5">
        <v>0.0</v>
      </c>
      <c r="Q117" s="5">
        <v>0.0</v>
      </c>
      <c r="R117" s="5">
        <v>0.0</v>
      </c>
      <c r="S117" s="5">
        <v>0.0</v>
      </c>
      <c r="T117" s="6">
        <f t="shared" si="13"/>
        <v>0</v>
      </c>
      <c r="U117" s="5">
        <f t="shared" si="30"/>
        <v>2</v>
      </c>
      <c r="V117" s="5">
        <f t="shared" si="31"/>
        <v>0</v>
      </c>
      <c r="W117" s="5">
        <f t="shared" si="32"/>
        <v>0</v>
      </c>
      <c r="X117" s="6">
        <f t="shared" si="17"/>
        <v>1</v>
      </c>
    </row>
    <row r="118">
      <c r="A118" s="3" t="s">
        <v>62</v>
      </c>
      <c r="B118" s="3">
        <v>2019.0</v>
      </c>
      <c r="C118" s="3" t="s">
        <v>90</v>
      </c>
      <c r="D118" s="4" t="s">
        <v>268</v>
      </c>
      <c r="E118" s="3" t="s">
        <v>127</v>
      </c>
      <c r="F118" s="5" t="s">
        <v>281</v>
      </c>
      <c r="G118" s="5" t="str">
        <f>IFERROR(__xludf.DUMMYFUNCTION("""COMPUTED_VALUE"""),"Sen. Julia Salazar [D], Sen. Jen Metzger [D], Sen. Joseph Addabbo [D], Sen. Jamaal Bailey [D], Sen. Brian Benjamin [D], Sen. Alessandra Biaggi [D], Sen. Neil Breslin [D], Sen. John Brooks [D], Sen. David Carlucci [D], Sen. Leroy Comrie [D], Sen. James Gau"&amp;"ghran [D], Sen. Michael Gianaris [D], Sen. Andrew Gounardes [D], Sen. Peter Harckham [D], Sen. Brad Hoylman-Sigal [D], Sen. Robert Jackson [D], Sen. Todd Kaminsky [D], Sen. Anna Kaplan [D], Sen. Brian Kavanagh [D], Sen. Timothy Kennedy [D], Sen. Liz Krueg"&amp;"er [D], Sen. John Liu [D], Sen. Monica Martinez [D], Sen. Rachel May [D], Sen. Shelley Mayer [D], Sen. Velmanette Montgomery [D], Sen. Zellnor Myrie [D], Sen. Kevin Parker [D], Sen. Roxanne Persaud [D], Sen. Jessica Ramos [D], Sen. Gustavo Rivera [D], Sen"&amp;". James Sanders [D], Sen. Diane Savino [D], Sen. Luis Sepulveda [D], Sen. Jose Serrano [D], Sen. James Skoufis [D], Sen. Toby Stavisky [D], Sen. Andrea Stewart-Cousins [D], Sen. Kevin Thomas [D]")</f>
        <v>Sen. Julia Salazar [D], Sen. Jen Metzger [D], Sen. Joseph Addabbo [D], Sen. Jamaal Bailey [D], Sen. Brian Benjamin [D], Sen. Alessandra Biaggi [D], Sen. Neil Breslin [D], Sen. John Brooks [D], Sen. David Carlucci [D], Sen. Leroy Comrie [D], Sen. James Gaughran [D], Sen. Michael Gianaris [D], Sen. Andrew Gounardes [D], Sen. Peter Harckham [D], Sen. Brad Hoylman-Sigal [D], Sen. Robert Jackson [D], Sen. Todd Kaminsky [D], Sen. Anna Kaplan [D], Sen. Brian Kavanagh [D], Sen. Timothy Kennedy [D], Sen. Liz Krueger [D], Sen. John Liu [D], Sen. Monica Martinez [D], Sen. Rachel May [D], Sen. Shelley Mayer [D], Sen. Velmanette Montgomery [D], Sen. Zellnor Myrie [D], Sen. Kevin Parker [D], Sen. Roxanne Persaud [D], Sen. Jessica Ramos [D], Sen. Gustavo Rivera [D], Sen. James Sanders [D], Sen. Diane Savino [D], Sen. Luis Sepulveda [D], Sen. Jose Serrano [D], Sen. James Skoufis [D], Sen. Toby Stavisky [D], Sen. Andrea Stewart-Cousins [D], Sen. Kevin Thomas [D]</v>
      </c>
      <c r="H118" s="6">
        <f t="shared" si="23"/>
        <v>39</v>
      </c>
      <c r="I118" s="5">
        <v>14.0</v>
      </c>
      <c r="J118" s="5">
        <v>25.0</v>
      </c>
      <c r="K118" s="5">
        <v>0.0</v>
      </c>
      <c r="L118" s="6">
        <f t="shared" si="12"/>
        <v>0.358974359</v>
      </c>
      <c r="M118" s="5">
        <v>21.0</v>
      </c>
      <c r="N118" s="5">
        <v>10.0</v>
      </c>
      <c r="O118" s="5">
        <v>6.0</v>
      </c>
      <c r="P118" s="5">
        <v>2.0</v>
      </c>
      <c r="Q118" s="5">
        <v>0.0</v>
      </c>
      <c r="R118" s="5">
        <v>0.0</v>
      </c>
      <c r="S118" s="5">
        <v>0.0</v>
      </c>
      <c r="T118" s="6">
        <f t="shared" si="13"/>
        <v>0.4615384615</v>
      </c>
      <c r="U118" s="5">
        <f t="shared" si="30"/>
        <v>39</v>
      </c>
      <c r="V118" s="5">
        <f t="shared" si="31"/>
        <v>0</v>
      </c>
      <c r="W118" s="5">
        <f t="shared" si="32"/>
        <v>0</v>
      </c>
      <c r="X118" s="6">
        <f t="shared" si="17"/>
        <v>1</v>
      </c>
    </row>
    <row r="119">
      <c r="A119" s="3" t="s">
        <v>266</v>
      </c>
      <c r="B119" s="3">
        <v>2019.0</v>
      </c>
      <c r="C119" s="3" t="s">
        <v>95</v>
      </c>
      <c r="D119" s="4" t="s">
        <v>141</v>
      </c>
      <c r="E119" s="3" t="s">
        <v>97</v>
      </c>
      <c r="F119" s="5" t="s">
        <v>280</v>
      </c>
      <c r="G119" s="5" t="str">
        <f>IFERROR(__xludf.DUMMYFUNCTION("""COMPUTED_VALUE"""),"Rep. Deborah Armstrong [D], Sen. Elizabeth Stefanics [D]")</f>
        <v>Rep. Deborah Armstrong [D], Sen. Elizabeth Stefanics [D]</v>
      </c>
      <c r="H119" s="6">
        <f t="shared" si="23"/>
        <v>2</v>
      </c>
      <c r="I119" s="5">
        <v>2.0</v>
      </c>
      <c r="J119" s="5">
        <v>0.0</v>
      </c>
      <c r="K119" s="5">
        <v>0.0</v>
      </c>
      <c r="L119" s="6">
        <f t="shared" si="12"/>
        <v>1</v>
      </c>
      <c r="M119" s="5">
        <v>2.0</v>
      </c>
      <c r="N119" s="5">
        <v>0.0</v>
      </c>
      <c r="O119" s="5">
        <v>0.0</v>
      </c>
      <c r="P119" s="5">
        <v>0.0</v>
      </c>
      <c r="Q119" s="5">
        <v>0.0</v>
      </c>
      <c r="R119" s="5">
        <v>0.0</v>
      </c>
      <c r="S119" s="5">
        <v>0.0</v>
      </c>
      <c r="T119" s="6">
        <f t="shared" si="13"/>
        <v>0</v>
      </c>
      <c r="U119" s="5">
        <f t="shared" si="30"/>
        <v>2</v>
      </c>
      <c r="V119" s="5">
        <f t="shared" si="31"/>
        <v>0</v>
      </c>
      <c r="W119" s="5">
        <f t="shared" si="32"/>
        <v>0</v>
      </c>
      <c r="X119" s="6">
        <f t="shared" si="17"/>
        <v>1</v>
      </c>
    </row>
    <row r="120">
      <c r="A120" s="3" t="s">
        <v>62</v>
      </c>
      <c r="B120" s="3">
        <v>2019.0</v>
      </c>
      <c r="C120" s="3" t="s">
        <v>95</v>
      </c>
      <c r="D120" s="4" t="s">
        <v>268</v>
      </c>
      <c r="E120" s="3" t="s">
        <v>99</v>
      </c>
      <c r="F120" s="5" t="s">
        <v>281</v>
      </c>
      <c r="G120" s="5" t="str">
        <f>IFERROR(__xludf.DUMMYFUNCTION("""COMPUTED_VALUE"""),"Sen. Julia Salazar [D], Sen. Jen Metzger [D], Sen. Joseph Addabbo [D], Sen. Jamaal Bailey [D], Sen. Brian Benjamin [D], Sen. Alessandra Biaggi [D], Sen. Neil Breslin [D], Sen. John Brooks [D], Sen. David Carlucci [D], Sen. Leroy Comrie [D], Sen. James Gau"&amp;"ghran [D], Sen. Michael Gianaris [D], Sen. Andrew Gounardes [D], Sen. Peter Harckham [D], Sen. Brad Hoylman-Sigal [D], Sen. Robert Jackson [D], Sen. Todd Kaminsky [D], Sen. Anna Kaplan [D], Sen. Brian Kavanagh [D], Sen. Timothy Kennedy [D], Sen. Liz Krueg"&amp;"er [D], Sen. John Liu [D], Sen. Monica Martinez [D], Sen. Rachel May [D], Sen. Shelley Mayer [D], Sen. Velmanette Montgomery [D], Sen. Zellnor Myrie [D], Sen. Kevin Parker [D], Sen. Roxanne Persaud [D], Sen. Jessica Ramos [D], Sen. Gustavo Rivera [D], Sen"&amp;". James Sanders [D], Sen. Diane Savino [D], Sen. Luis Sepulveda [D], Sen. Jose Serrano [D], Sen. James Skoufis [D], Sen. Toby Stavisky [D], Sen. Andrea Stewart-Cousins [D], Sen. Kevin Thomas [D]")</f>
        <v>Sen. Julia Salazar [D], Sen. Jen Metzger [D], Sen. Joseph Addabbo [D], Sen. Jamaal Bailey [D], Sen. Brian Benjamin [D], Sen. Alessandra Biaggi [D], Sen. Neil Breslin [D], Sen. John Brooks [D], Sen. David Carlucci [D], Sen. Leroy Comrie [D], Sen. James Gaughran [D], Sen. Michael Gianaris [D], Sen. Andrew Gounardes [D], Sen. Peter Harckham [D], Sen. Brad Hoylman-Sigal [D], Sen. Robert Jackson [D], Sen. Todd Kaminsky [D], Sen. Anna Kaplan [D], Sen. Brian Kavanagh [D], Sen. Timothy Kennedy [D], Sen. Liz Krueger [D], Sen. John Liu [D], Sen. Monica Martinez [D], Sen. Rachel May [D], Sen. Shelley Mayer [D], Sen. Velmanette Montgomery [D], Sen. Zellnor Myrie [D], Sen. Kevin Parker [D], Sen. Roxanne Persaud [D], Sen. Jessica Ramos [D], Sen. Gustavo Rivera [D], Sen. James Sanders [D], Sen. Diane Savino [D], Sen. Luis Sepulveda [D], Sen. Jose Serrano [D], Sen. James Skoufis [D], Sen. Toby Stavisky [D], Sen. Andrea Stewart-Cousins [D], Sen. Kevin Thomas [D]</v>
      </c>
      <c r="H120" s="6">
        <f t="shared" si="23"/>
        <v>39</v>
      </c>
      <c r="I120" s="5">
        <v>14.0</v>
      </c>
      <c r="J120" s="5">
        <v>25.0</v>
      </c>
      <c r="K120" s="5">
        <v>0.0</v>
      </c>
      <c r="L120" s="6">
        <f t="shared" si="12"/>
        <v>0.358974359</v>
      </c>
      <c r="M120" s="5">
        <v>21.0</v>
      </c>
      <c r="N120" s="5">
        <v>10.0</v>
      </c>
      <c r="O120" s="5">
        <v>6.0</v>
      </c>
      <c r="P120" s="5">
        <v>2.0</v>
      </c>
      <c r="Q120" s="5">
        <v>0.0</v>
      </c>
      <c r="R120" s="5">
        <v>0.0</v>
      </c>
      <c r="S120" s="5">
        <v>0.0</v>
      </c>
      <c r="T120" s="6">
        <f t="shared" si="13"/>
        <v>0.4615384615</v>
      </c>
      <c r="U120" s="5">
        <f t="shared" si="30"/>
        <v>39</v>
      </c>
      <c r="V120" s="5">
        <f t="shared" si="31"/>
        <v>0</v>
      </c>
      <c r="W120" s="5">
        <f t="shared" si="32"/>
        <v>0</v>
      </c>
      <c r="X120" s="6">
        <f t="shared" si="17"/>
        <v>1</v>
      </c>
    </row>
    <row r="121">
      <c r="A121" s="3" t="s">
        <v>72</v>
      </c>
      <c r="B121" s="3">
        <v>2019.0</v>
      </c>
      <c r="C121" s="3" t="s">
        <v>187</v>
      </c>
      <c r="D121" s="7" t="s">
        <v>229</v>
      </c>
      <c r="E121" s="7" t="s">
        <v>289</v>
      </c>
      <c r="F121" s="5" t="s">
        <v>288</v>
      </c>
      <c r="G121" s="5" t="str">
        <f>IFERROR(__xludf.DUMMYFUNCTION("""COMPUTED_VALUE"""),"Sen. Melinda Bush [D], Sen. Elgie Sims [D], Sen. Linda Holmes [D], Sen. Cristina Castro [D], Sen. Omar Aquino [D], Sen. Kimberly Lightford [D], Sen. Robert Peters [D], Sen. Iris Martinez [D], Sen. Mattie Hunter [D], Sen. Emil Jones [D], Sen. Ann Gillespie"&amp;" [D], Sen. Michael Hastings [D], Sen. Ram Villivalam [D], Sen. Martin Sandoval [D], Sen. Laura Fine [D], Sen. Don Harmon [D], Rep. Kelly Cassidy [D], Rep. Emanuel Welch [D], Sen. Sara Feigenholtz [D], Rep. Marcus Evans [D], Rep. Jehan Gordon-Booth [D], Se"&amp;"n. Karina Villa [D], Rep. Will Guzzardi [D], Rep. Elizabeth Hernandez [D], Rep. Jennifer Gong-Gershowitz [D], Sen. Diane Pappas [D], Rep. Nicholas Smith [D], Rep. Latoya Greenwood [D], Rep. Ann Williams [D], Rep. Deborah Conroy [D], Rep. Daniel Didech [D]"&amp;", Rep. Anne Stava-Murray [D], Rep. Anna Moeller [D], Rep. Gregory Harris [D], Sen. Celina Villanueva [D], Rep. Katie Stuart [D], Rep. Barbara Hernandez [D], Rep. Robyn Gabel [D], Rep. Michelle Mussman [D], Sen. John Connor [D], Rep. Jonathan Carroll [D], "&amp;"Rep. Jaime Andrade [D], Rep. Kathleen Willis [D], Rep. Carol Ammons [D], Rep. Delia Ramirez [D], Rep. Justin Slaughter [D], Sen. Robert Martwick [D], Rep. Sonya Harper [D], Rep. Jawaharial Williams [D], Rep. Natalie Manley [D], Rep. Aaron Ortiz [D], Rep. "&amp;"Bob Morgan [D]")</f>
        <v>Sen. Melinda Bush [D], Sen. Elgie Sims [D], Sen. Linda Holmes [D], Sen. Cristina Castro [D], Sen. Omar Aquino [D], Sen. Kimberly Lightford [D], Sen. Robert Peters [D], Sen. Iris Martinez [D], Sen. Mattie Hunter [D], Sen. Emil Jones [D], Sen. Ann Gillespie [D], Sen. Michael Hastings [D], Sen. Ram Villivalam [D], Sen. Martin Sandoval [D], Sen. Laura Fine [D], Sen. Don Harmon [D], Rep. Kelly Cassidy [D], Rep. Emanuel Welch [D], Sen. Sara Feigenholtz [D], Rep. Marcus Evans [D], Rep. Jehan Gordon-Booth [D], Sen. Karina Villa [D], Rep. Will Guzzardi [D], Rep. Elizabeth Hernandez [D], Rep. Jennifer Gong-Gershowitz [D], Sen. Diane Pappas [D], Rep. Nicholas Smith [D], Rep. Latoya Greenwood [D], Rep. Ann Williams [D], Rep. Deborah Conroy [D], Rep. Daniel Didech [D], Rep. Anne Stava-Murray [D], Rep. Anna Moeller [D], Rep. Gregory Harris [D], Sen. Celina Villanueva [D], Rep. Katie Stuart [D], Rep. Barbara Hernandez [D], Rep. Robyn Gabel [D], Rep. Michelle Mussman [D], Sen. John Connor [D], Rep. Jonathan Carroll [D], Rep. Jaime Andrade [D], Rep. Kathleen Willis [D], Rep. Carol Ammons [D], Rep. Delia Ramirez [D], Rep. Justin Slaughter [D], Sen. Robert Martwick [D], Rep. Sonya Harper [D], Rep. Jawaharial Williams [D], Rep. Natalie Manley [D], Rep. Aaron Ortiz [D], Rep. Bob Morgan [D]</v>
      </c>
      <c r="H121" s="6">
        <f t="shared" si="23"/>
        <v>52</v>
      </c>
      <c r="I121" s="5">
        <v>31.0</v>
      </c>
      <c r="J121" s="5">
        <v>21.0</v>
      </c>
      <c r="K121" s="5">
        <v>0.0</v>
      </c>
      <c r="L121" s="6">
        <f t="shared" si="12"/>
        <v>0.5961538462</v>
      </c>
      <c r="M121" s="5">
        <v>19.0</v>
      </c>
      <c r="N121" s="5">
        <v>10.0</v>
      </c>
      <c r="O121" s="5">
        <v>8.0</v>
      </c>
      <c r="P121" s="5">
        <v>2.0</v>
      </c>
      <c r="Q121" s="5">
        <v>0.0</v>
      </c>
      <c r="R121" s="5">
        <v>0.0</v>
      </c>
      <c r="S121" s="5">
        <v>0.0</v>
      </c>
      <c r="T121" s="6">
        <f t="shared" si="13"/>
        <v>0.3846153846</v>
      </c>
      <c r="U121" s="5">
        <f t="shared" si="30"/>
        <v>52</v>
      </c>
      <c r="V121" s="5">
        <f t="shared" si="31"/>
        <v>0</v>
      </c>
      <c r="W121" s="5">
        <f t="shared" si="32"/>
        <v>0</v>
      </c>
      <c r="X121" s="6">
        <f t="shared" si="17"/>
        <v>1</v>
      </c>
    </row>
    <row r="122">
      <c r="A122" s="3" t="s">
        <v>51</v>
      </c>
      <c r="B122" s="3">
        <v>2019.0</v>
      </c>
      <c r="C122" s="3" t="s">
        <v>187</v>
      </c>
      <c r="D122" s="4" t="s">
        <v>290</v>
      </c>
      <c r="E122" s="7" t="s">
        <v>289</v>
      </c>
      <c r="F122" s="5" t="s">
        <v>291</v>
      </c>
      <c r="G122" s="5" t="str">
        <f>IFERROR(__xludf.DUMMYFUNCTION("""COMPUTED_VALUE"""),"Rep. Joyce McCreight [D], Rep. Kent Ackley [I], Rep. Christopher Babbidge [D], Rep. Shawn Babine [D], Sen. Donna Bailey [D], Sen. Pinny Beebe-Center [D], Sen. Shenna Bellows [D], Rep. Seth Berry [D], Rep. Lydia Blume [D], Sen. Catherine Breen [D], Rep. Mi"&amp;"chael Brennan [D], Rep. Heidi Brooks [D], Rep. Christopher Caiazzo [D], Rep. Barbara Cardone [D], Sen. Anne Carney [D], Sen. Everett Carson [D], Sen. Justin Chenette [D], Sen. Benjamin Chipman [D], Rep. Kristen Cloutier [D], Rep. Benjamin Collings [D], Re"&amp;"p. Janice Cooper [D], Rep. Scott Cuddy [D], Sen. Matthea Larsen Daughtry [D], Rep. Diane Denk [D], Rep. Dale Denno [D], Sen. Susan Deschambault [D], Sen. James Dill [D], Rep. Janice Dodge [D], Rep. Donna Doore [D], Rep. Victoria Doudera [D], Rep. Michelle"&amp;" Dunphy [D], Rep. Jeffrey Evangelos [I], Rep. Richard Farnsworth [D], Rep. Ryan Fecteau [D], Rep. Victoria Foley [D], Rep. Andrew Gattine [D], Rep. Sara Gideon [D], Rep. Lori Gramlich [D], Sen. Geoffrey Gratwick [D], Rep. Thomas Harnett [D], Rep. Allison "&amp;"Hepler [D], Rep. Daniel Hobbs [D], Rep. Brian Hubbell [D], Rep. Patricia Hymanson [D], Rep. Erik Jorgensen [D], Rep. Victoria Kornfield [D], Rep. Scott Landry [D], Sen. Nathan Libby [D], Sen. Louis Luchini [D], Rep. Colleen Madigan [D], Rep. Anne-Marie Ma"&amp;"straccio [D], Rep. Ann Matlack [D], Rep. David McCrea [D], Rep. Genevieve McDonald [D], Rep. Andrew McLean [D], Rep. Gina Melaragno [D], Rep. Michele Meyer [D], Rep. Rebecca Millett [D], Sen. David Miramant [D], Rep. Matthew Moonen [D], Rep. Margaret O'Ne"&amp;"il [D], Rep. Sarah Pebworth [D], Rep. Ann Peoples [D], Rep. Anne Perry [D], Sen. Teresa Pierce [D], Rep. Lois Galgay Reckitt [D], Rep. Tiffany Roberts-Lovell [D], Rep. Deane Rykerson [D], Sen. Heather Sanborn [D], Sen. Linda Sanborn [D], Rep. John Schneck"&amp;" [D], Rep. Braden Sharpe [D], Rep. Michael Sylvester [D], Sen. Rachel Talbot Ross [D], Sen. Denise Tepler [D], Rep. Maureen Terry [D], Rep. Ryan Tipping-Spitz [D], Rep. Ralph Tucker [D], Sen. Eloise Vitelli [D], Rep. Charlotte Warren [D], Rep. Stanley Zei"&amp;"gler [D]")</f>
        <v>Rep. Joyce McCreight [D], Rep. Kent Ackley [I], Rep. Christopher Babbidge [D], Rep. Shawn Babine [D], Sen. Donna Bailey [D], Sen. Pinny Beebe-Center [D], Sen. Shenna Bellows [D], Rep. Seth Berry [D], Rep. Lydia Blume [D], Sen. Catherine Breen [D], Rep. Michael Brennan [D], Rep. Heidi Brooks [D], Rep. Christopher Caiazzo [D], Rep. Barbara Cardone [D], Sen. Anne Carney [D], Sen. Everett Carson [D], Sen. Justin Chenette [D], Sen. Benjamin Chipman [D], Rep. Kristen Cloutier [D], Rep. Benjamin Collings [D], Rep. Janice Cooper [D], Rep. Scott Cuddy [D], Sen. Matthea Larsen Daughtry [D], Rep. Diane Denk [D], Rep. Dale Denno [D], Sen. Susan Deschambault [D], Sen. James Dill [D], Rep. Janice Dodge [D], Rep. Donna Doore [D], Rep. Victoria Doudera [D], Rep. Michelle Dunphy [D], Rep. Jeffrey Evangelos [I], Rep. Richard Farnsworth [D], Rep. Ryan Fecteau [D], Rep. Victoria Foley [D], Rep. Andrew Gattine [D], Rep. Sara Gideon [D], Rep. Lori Gramlich [D], Sen. Geoffrey Gratwick [D], Rep. Thomas Harnett [D], Rep. Allison Hepler [D], Rep. Daniel Hobbs [D], Rep. Brian Hubbell [D], Rep. Patricia Hymanson [D], Rep. Erik Jorgensen [D], Rep. Victoria Kornfield [D], Rep. Scott Landry [D], Sen. Nathan Libby [D], Sen. Louis Luchini [D], Rep. Colleen Madigan [D], Rep. Anne-Marie Mastraccio [D], Rep. Ann Matlack [D], Rep. David McCrea [D], Rep. Genevieve McDonald [D], Rep. Andrew McLean [D], Rep. Gina Melaragno [D], Rep. Michele Meyer [D], Rep. Rebecca Millett [D], Sen. David Miramant [D], Rep. Matthew Moonen [D], Rep. Margaret O'Neil [D], Rep. Sarah Pebworth [D], Rep. Ann Peoples [D], Rep. Anne Perry [D], Sen. Teresa Pierce [D], Rep. Lois Galgay Reckitt [D], Rep. Tiffany Roberts-Lovell [D], Rep. Deane Rykerson [D], Sen. Heather Sanborn [D], Sen. Linda Sanborn [D], Rep. John Schneck [D], Rep. Braden Sharpe [D], Rep. Michael Sylvester [D], Sen. Rachel Talbot Ross [D], Sen. Denise Tepler [D], Rep. Maureen Terry [D], Rep. Ryan Tipping-Spitz [D], Rep. Ralph Tucker [D], Sen. Eloise Vitelli [D], Rep. Charlotte Warren [D], Rep. Stanley Zeigler [D]</v>
      </c>
      <c r="H122" s="6">
        <f t="shared" si="23"/>
        <v>81</v>
      </c>
      <c r="I122" s="5">
        <v>46.0</v>
      </c>
      <c r="J122" s="5">
        <v>35.0</v>
      </c>
      <c r="K122" s="5">
        <v>0.0</v>
      </c>
      <c r="L122" s="6">
        <f t="shared" si="12"/>
        <v>0.5679012346</v>
      </c>
      <c r="M122" s="5">
        <v>80.0</v>
      </c>
      <c r="N122" s="5">
        <v>1.0</v>
      </c>
      <c r="O122" s="5">
        <v>0.0</v>
      </c>
      <c r="P122" s="5">
        <v>0.0</v>
      </c>
      <c r="Q122" s="5">
        <v>0.0</v>
      </c>
      <c r="R122" s="5">
        <v>0.0</v>
      </c>
      <c r="S122" s="5">
        <v>0.0</v>
      </c>
      <c r="T122" s="6">
        <f t="shared" si="13"/>
        <v>0.01234567901</v>
      </c>
      <c r="U122" s="5">
        <f t="shared" si="30"/>
        <v>79</v>
      </c>
      <c r="V122" s="5">
        <f t="shared" si="31"/>
        <v>0</v>
      </c>
      <c r="W122" s="5">
        <f t="shared" si="32"/>
        <v>2</v>
      </c>
      <c r="X122" s="6">
        <f t="shared" si="17"/>
        <v>0.975308642</v>
      </c>
    </row>
    <row r="123">
      <c r="A123" s="3" t="s">
        <v>292</v>
      </c>
      <c r="B123" s="3">
        <v>2019.0</v>
      </c>
      <c r="C123" s="3" t="s">
        <v>25</v>
      </c>
      <c r="D123" s="4" t="s">
        <v>293</v>
      </c>
      <c r="E123" s="4" t="s">
        <v>294</v>
      </c>
      <c r="F123" s="5" t="s">
        <v>295</v>
      </c>
      <c r="G123" s="5" t="str">
        <f>IFERROR(__xludf.DUMMYFUNCTION("""COMPUTED_VALUE"""),"Rep. Paul Ray [R], Sen. Karen Mayne [D]")</f>
        <v>Rep. Paul Ray [R], Sen. Karen Mayne [D]</v>
      </c>
      <c r="H123" s="6">
        <f t="shared" si="23"/>
        <v>2</v>
      </c>
      <c r="I123" s="5">
        <v>1.0</v>
      </c>
      <c r="J123" s="5">
        <v>1.0</v>
      </c>
      <c r="K123" s="5">
        <v>0.0</v>
      </c>
      <c r="L123" s="6">
        <f t="shared" si="12"/>
        <v>0.5</v>
      </c>
      <c r="M123" s="5">
        <v>2.0</v>
      </c>
      <c r="N123" s="5">
        <v>0.0</v>
      </c>
      <c r="O123" s="5">
        <v>0.0</v>
      </c>
      <c r="P123" s="5">
        <v>0.0</v>
      </c>
      <c r="Q123" s="5">
        <v>0.0</v>
      </c>
      <c r="R123" s="5">
        <v>0.0</v>
      </c>
      <c r="S123" s="5">
        <v>0.0</v>
      </c>
      <c r="T123" s="6">
        <f t="shared" si="13"/>
        <v>0</v>
      </c>
      <c r="U123" s="7">
        <f t="shared" si="30"/>
        <v>1</v>
      </c>
      <c r="V123" s="7">
        <f t="shared" si="31"/>
        <v>1</v>
      </c>
      <c r="W123" s="7">
        <f t="shared" si="32"/>
        <v>0</v>
      </c>
      <c r="X123" s="6">
        <f t="shared" si="17"/>
        <v>0.5</v>
      </c>
    </row>
    <row r="124">
      <c r="A124" s="3" t="s">
        <v>114</v>
      </c>
      <c r="B124" s="3">
        <v>2018.0</v>
      </c>
      <c r="C124" s="3" t="s">
        <v>197</v>
      </c>
      <c r="D124" s="13" t="s">
        <v>296</v>
      </c>
      <c r="E124" s="3" t="s">
        <v>199</v>
      </c>
      <c r="F124" s="5" t="s">
        <v>297</v>
      </c>
      <c r="G124" s="6" t="str">
        <f>IFERROR(__xludf.DUMMYFUNCTION("""COMPUTED_VALUE"""),"Sen. Edward Reilly [R], Sen. Andrew Serafini [R], Sen. Joanne Benson [D], Sen. Brian Feldman [D], Sen. Stephen Hershey [R], Sen. J.B. Jennings [R], Sen. Katherine Klausmeier [D], Sen. Jim Mathias [D], Sen. Thomas Middleton [D], Sen. Nathaniel Oaks [D], Se"&amp;"n. Jim Rosapepe [D]")</f>
        <v>Sen. Edward Reilly [R], Sen. Andrew Serafini [R], Sen. Joanne Benson [D], Sen. Brian Feldman [D], Sen. Stephen Hershey [R], Sen. J.B. Jennings [R], Sen. Katherine Klausmeier [D], Sen. Jim Mathias [D], Sen. Thomas Middleton [D], Sen. Nathaniel Oaks [D], Sen. Jim Rosapepe [D]</v>
      </c>
      <c r="H124" s="6">
        <f t="shared" si="23"/>
        <v>11</v>
      </c>
      <c r="I124" s="5">
        <v>2.0</v>
      </c>
      <c r="J124" s="5">
        <v>9.0</v>
      </c>
      <c r="K124" s="5">
        <v>0.0</v>
      </c>
      <c r="L124" s="6">
        <f t="shared" si="12"/>
        <v>0.1818181818</v>
      </c>
      <c r="M124" s="5">
        <v>8.0</v>
      </c>
      <c r="N124" s="5">
        <v>2.0</v>
      </c>
      <c r="O124" s="5">
        <v>0.0</v>
      </c>
      <c r="P124" s="5">
        <v>0.0</v>
      </c>
      <c r="Q124" s="5">
        <v>0.0</v>
      </c>
      <c r="R124" s="5">
        <v>0.0</v>
      </c>
      <c r="S124" s="5">
        <v>1.0</v>
      </c>
      <c r="T124" s="6">
        <f t="shared" si="13"/>
        <v>0.2727272727</v>
      </c>
      <c r="U124" s="5">
        <f t="shared" si="30"/>
        <v>7</v>
      </c>
      <c r="V124" s="5">
        <f t="shared" si="31"/>
        <v>4</v>
      </c>
      <c r="W124" s="5">
        <f t="shared" si="32"/>
        <v>0</v>
      </c>
      <c r="X124" s="6">
        <f t="shared" si="17"/>
        <v>0.6363636364</v>
      </c>
    </row>
    <row r="125">
      <c r="A125" s="3" t="s">
        <v>143</v>
      </c>
      <c r="B125" s="3">
        <v>2018.0</v>
      </c>
      <c r="C125" s="3" t="s">
        <v>197</v>
      </c>
      <c r="D125" s="4" t="s">
        <v>298</v>
      </c>
      <c r="E125" s="3" t="s">
        <v>199</v>
      </c>
      <c r="F125" s="5" t="s">
        <v>299</v>
      </c>
      <c r="G125" s="5" t="str">
        <f>IFERROR(__xludf.DUMMYFUNCTION("""COMPUTED_VALUE"""),"Sen. Steven Hobbs [D] Sen. Rebecca Saldana [D] Sen. Manka Dhingra [D] Sen. Kevin Ranker [D], Sen. Reuven Carlyle [D] Sen. Dean Takko [D] Sen. Patty Kuderer [D] Sen. Robert Hasegawa [D], Sen. Guy Palumbo [D] Sen. Maralyn Chase [D] Sen. Sharon Nelson [D] Se"&amp;"n. David Frockt [D], Sen. Karen Keiser [D] Sen. Lisa Wellman [D] Sen. Jeannie Darneille [D] Sen. Mark Mullet [D], Sen. Andrew Billig [D] Sen. Jamie Pedersen [D] Sen. Christine Rolfes [D] Sen. Samuel Hunt [D], Sen. Marko Liias [D]")</f>
        <v>Sen. Steven Hobbs [D] Sen. Rebecca Saldana [D] Sen. Manka Dhingra [D] Sen. Kevin Ranker [D], Sen. Reuven Carlyle [D] Sen. Dean Takko [D] Sen. Patty Kuderer [D] Sen. Robert Hasegawa [D], Sen. Guy Palumbo [D] Sen. Maralyn Chase [D] Sen. Sharon Nelson [D] Sen. David Frockt [D], Sen. Karen Keiser [D] Sen. Lisa Wellman [D] Sen. Jeannie Darneille [D] Sen. Mark Mullet [D], Sen. Andrew Billig [D] Sen. Jamie Pedersen [D] Sen. Christine Rolfes [D] Sen. Samuel Hunt [D], Sen. Marko Liias [D]</v>
      </c>
      <c r="H125" s="6">
        <f t="shared" si="23"/>
        <v>21</v>
      </c>
      <c r="I125" s="5">
        <v>9.0</v>
      </c>
      <c r="J125" s="5">
        <v>12.0</v>
      </c>
      <c r="K125" s="5">
        <v>0.0</v>
      </c>
      <c r="L125" s="6">
        <f t="shared" si="12"/>
        <v>0.4285714286</v>
      </c>
      <c r="M125" s="5">
        <v>17.0</v>
      </c>
      <c r="N125" s="5">
        <v>0.0</v>
      </c>
      <c r="O125" s="5">
        <v>1.0</v>
      </c>
      <c r="P125" s="5">
        <v>2.0</v>
      </c>
      <c r="Q125" s="5">
        <v>0.0</v>
      </c>
      <c r="R125" s="5">
        <v>0.0</v>
      </c>
      <c r="S125" s="5">
        <v>1.0</v>
      </c>
      <c r="T125" s="6">
        <f t="shared" si="13"/>
        <v>0.1904761905</v>
      </c>
      <c r="U125" s="7">
        <f t="shared" si="30"/>
        <v>21</v>
      </c>
      <c r="V125" s="7">
        <f t="shared" si="31"/>
        <v>0</v>
      </c>
      <c r="W125" s="7">
        <f t="shared" si="32"/>
        <v>0</v>
      </c>
      <c r="X125" s="6">
        <f t="shared" si="17"/>
        <v>1</v>
      </c>
    </row>
    <row r="126">
      <c r="A126" s="3" t="s">
        <v>62</v>
      </c>
      <c r="B126" s="3">
        <v>2018.0</v>
      </c>
      <c r="C126" s="3" t="s">
        <v>30</v>
      </c>
      <c r="D126" s="4" t="s">
        <v>300</v>
      </c>
      <c r="E126" s="3" t="s">
        <v>36</v>
      </c>
      <c r="F126" s="5" t="s">
        <v>301</v>
      </c>
      <c r="G126" s="6" t="str">
        <f>IFERROR(__xludf.DUMMYFUNCTION("""COMPUTED_VALUE"""),"Sen. James Tedisco [R], Sen. Kemp Hannon [R], Sen. William Larkin [R], Sen. Kathleen Marchione [R]")</f>
        <v>Sen. James Tedisco [R], Sen. Kemp Hannon [R], Sen. William Larkin [R], Sen. Kathleen Marchione [R]</v>
      </c>
      <c r="H126" s="6">
        <f t="shared" si="23"/>
        <v>4</v>
      </c>
      <c r="I126" s="5">
        <v>1.0</v>
      </c>
      <c r="J126" s="5">
        <v>3.0</v>
      </c>
      <c r="K126" s="5">
        <v>0.0</v>
      </c>
      <c r="L126" s="6">
        <f t="shared" si="12"/>
        <v>0.25</v>
      </c>
      <c r="M126" s="5">
        <v>4.0</v>
      </c>
      <c r="N126" s="5">
        <v>0.0</v>
      </c>
      <c r="O126" s="5">
        <v>0.0</v>
      </c>
      <c r="P126" s="5">
        <v>0.0</v>
      </c>
      <c r="Q126" s="5">
        <v>0.0</v>
      </c>
      <c r="R126" s="5">
        <v>0.0</v>
      </c>
      <c r="S126" s="5">
        <v>0.0</v>
      </c>
      <c r="T126" s="6">
        <f t="shared" si="13"/>
        <v>0</v>
      </c>
      <c r="U126" s="5">
        <f t="shared" si="30"/>
        <v>0</v>
      </c>
      <c r="V126" s="5">
        <f t="shared" si="31"/>
        <v>4</v>
      </c>
      <c r="W126" s="5">
        <f t="shared" si="32"/>
        <v>0</v>
      </c>
      <c r="X126" s="6">
        <f t="shared" si="17"/>
        <v>0</v>
      </c>
    </row>
    <row r="127">
      <c r="A127" s="3" t="s">
        <v>29</v>
      </c>
      <c r="B127" s="3">
        <v>2018.0</v>
      </c>
      <c r="C127" s="3" t="s">
        <v>44</v>
      </c>
      <c r="D127" s="4" t="s">
        <v>302</v>
      </c>
      <c r="E127" s="3" t="s">
        <v>46</v>
      </c>
      <c r="F127" s="5" t="s">
        <v>303</v>
      </c>
      <c r="G127" s="6" t="str">
        <f>IFERROR(__xludf.DUMMYFUNCTION("""COMPUTED_VALUE"""),"Sen. Bryan Townsend [D], Rep. Valerie Longhurst [D], Sen. Catherine Cloutier [R], Sen. Bruce Ennis [D], Sen. Stephanie Hansen [D], Sen. Margaret Henry [D], Sen. Ernesto Lopez [R], Sen. Nicole Poore [D], Sen. Gary Simpson [R], Sen. David Sokola [D], Rep. P"&amp;"aul Baumbach [D], Rep. Andria Bennett [D], Rep. David Bentz [D], Rep. Stephanie Bolden [D], Rep. Gerald Brady [D], Rep. William Carson [D], Rep. Debra Heffernan [D], Rep. Kevin Hensley [R], Rep. Deborah Hudson [R], Rep. Earl Jaques [D], Rep. Helene Keeley"&amp;" [D], Rep. Sean Lynn [D], Rep. Sean Matthews [D], Rep. John Mitchell [D], Sen. Charles Paradee [D], Rep. Melanie Smith [D], Rep. Kimberly Williams [D]")</f>
        <v>Sen. Bryan Townsend [D], Rep. Valerie Longhurst [D], Sen. Catherine Cloutier [R], Sen. Bruce Ennis [D], Sen. Stephanie Hansen [D], Sen. Margaret Henry [D], Sen. Ernesto Lopez [R], Sen. Nicole Poore [D], Sen. Gary Simpson [R], Sen. David Sokola [D], Rep. Paul Baumbach [D], Rep. Andria Bennett [D], Rep. David Bentz [D], Rep. Stephanie Bolden [D], Rep. Gerald Brady [D], Rep. William Carson [D], Rep. Debra Heffernan [D], Rep. Kevin Hensley [R], Rep. Deborah Hudson [R], Rep. Earl Jaques [D], Rep. Helene Keeley [D], Rep. Sean Lynn [D], Rep. Sean Matthews [D], Rep. John Mitchell [D], Sen. Charles Paradee [D], Rep. Melanie Smith [D], Rep. Kimberly Williams [D]</v>
      </c>
      <c r="H127" s="6">
        <f t="shared" si="23"/>
        <v>27</v>
      </c>
      <c r="I127" s="5">
        <v>12.0</v>
      </c>
      <c r="J127" s="5">
        <v>15.0</v>
      </c>
      <c r="K127" s="5">
        <v>0.0</v>
      </c>
      <c r="L127" s="6">
        <f t="shared" si="12"/>
        <v>0.4444444444</v>
      </c>
      <c r="M127" s="5">
        <v>23.0</v>
      </c>
      <c r="N127" s="5">
        <v>2.0</v>
      </c>
      <c r="O127" s="5">
        <v>2.0</v>
      </c>
      <c r="P127" s="5">
        <v>0.0</v>
      </c>
      <c r="Q127" s="5">
        <v>0.0</v>
      </c>
      <c r="R127" s="5">
        <v>0.0</v>
      </c>
      <c r="S127" s="5">
        <v>0.0</v>
      </c>
      <c r="T127" s="6">
        <f t="shared" si="13"/>
        <v>0.1481481481</v>
      </c>
      <c r="U127" s="5">
        <f t="shared" si="30"/>
        <v>22</v>
      </c>
      <c r="V127" s="5">
        <f t="shared" si="31"/>
        <v>5</v>
      </c>
      <c r="W127" s="5">
        <f t="shared" si="32"/>
        <v>0</v>
      </c>
      <c r="X127" s="6">
        <f t="shared" si="17"/>
        <v>0.8148148148</v>
      </c>
    </row>
    <row r="128">
      <c r="A128" s="3" t="s">
        <v>72</v>
      </c>
      <c r="B128" s="3">
        <v>2018.0</v>
      </c>
      <c r="C128" s="3" t="s">
        <v>44</v>
      </c>
      <c r="D128" s="4" t="s">
        <v>304</v>
      </c>
      <c r="E128" s="3" t="s">
        <v>74</v>
      </c>
      <c r="F128" s="5" t="s">
        <v>305</v>
      </c>
      <c r="G128" s="6" t="str">
        <f>IFERROR(__xludf.DUMMYFUNCTION("""COMPUTED_VALUE"""),"Rep. Robyn Gabel [D], Rep. Steven Andersson [R], Sen. Laura Fine [D], Rep. Jay Hoffman [D], Rep. Michael Zalewski [D], Rep. Kelly Cassidy [D], Rep. Jaime Andrade [D], Rep. Will Guzzardi [D], Rep. Anna Moeller [D], Rep. Lawrence Walsh [D], Sen. Terri Bryan"&amp;"t [R], Rep. Justin Slaughter [D], Sen. Michael Halpin [D], Rep. Katie Stuart [D], Rep. Camille Lilly [D], Rep. Latoya Greenwood [D], Rep. Silvana Tabares [D], Rep. Deborah Conroy [D], Rep. Marcus Evans [D], Sen. Laura Murphy [D], Sen. Cristina Castro [D],"&amp;" Sen. Heather Steans [D], Sen. Linda Holmes [D], Sen. James Clayborne [D], Sen. David Koehler [D], Sen. Terry Link [D], Sen. Julie Morrison [D], Sen. Antonio Munoz [D], Sen. Omar Aquino [D], Sen. John Mulroe [D]")</f>
        <v>Rep. Robyn Gabel [D], Rep. Steven Andersson [R], Sen. Laura Fine [D], Rep. Jay Hoffman [D], Rep. Michael Zalewski [D], Rep. Kelly Cassidy [D], Rep. Jaime Andrade [D], Rep. Will Guzzardi [D], Rep. Anna Moeller [D], Rep. Lawrence Walsh [D], Sen. Terri Bryant [R], Rep. Justin Slaughter [D], Sen. Michael Halpin [D], Rep. Katie Stuart [D], Rep. Camille Lilly [D], Rep. Latoya Greenwood [D], Rep. Silvana Tabares [D], Rep. Deborah Conroy [D], Rep. Marcus Evans [D], Sen. Laura Murphy [D], Sen. Cristina Castro [D], Sen. Heather Steans [D], Sen. Linda Holmes [D], Sen. James Clayborne [D], Sen. David Koehler [D], Sen. Terry Link [D], Sen. Julie Morrison [D], Sen. Antonio Munoz [D], Sen. Omar Aquino [D], Sen. John Mulroe [D]</v>
      </c>
      <c r="H128" s="6">
        <f t="shared" si="23"/>
        <v>29</v>
      </c>
      <c r="I128" s="5">
        <v>15.0</v>
      </c>
      <c r="J128" s="5">
        <v>15.0</v>
      </c>
      <c r="K128" s="5">
        <v>0.0</v>
      </c>
      <c r="L128" s="6">
        <f t="shared" si="12"/>
        <v>0.5172413793</v>
      </c>
      <c r="M128" s="5">
        <v>20.0</v>
      </c>
      <c r="N128" s="5">
        <v>5.0</v>
      </c>
      <c r="O128" s="5">
        <v>4.0</v>
      </c>
      <c r="P128" s="5">
        <v>0.0</v>
      </c>
      <c r="Q128" s="5">
        <v>0.0</v>
      </c>
      <c r="R128" s="5">
        <v>0.0</v>
      </c>
      <c r="S128" s="5">
        <v>0.0</v>
      </c>
      <c r="T128" s="6">
        <f t="shared" si="13"/>
        <v>0.3103448276</v>
      </c>
      <c r="U128" s="5">
        <v>27.0</v>
      </c>
      <c r="V128" s="5">
        <f t="shared" si="31"/>
        <v>2</v>
      </c>
      <c r="W128" s="5">
        <f t="shared" si="32"/>
        <v>0</v>
      </c>
      <c r="X128" s="6">
        <f t="shared" si="17"/>
        <v>0.9310344828</v>
      </c>
    </row>
    <row r="129">
      <c r="A129" s="3" t="s">
        <v>114</v>
      </c>
      <c r="B129" s="3">
        <v>2018.0</v>
      </c>
      <c r="C129" s="3" t="s">
        <v>44</v>
      </c>
      <c r="D129" s="4" t="s">
        <v>306</v>
      </c>
      <c r="E129" s="3" t="s">
        <v>161</v>
      </c>
      <c r="F129" s="5" t="s">
        <v>307</v>
      </c>
      <c r="G129" s="6" t="str">
        <f>IFERROR(__xludf.DUMMYFUNCTION("""COMPUTED_VALUE"""),"Del. Joseline Pena-Melnyk [D], Sen. Cory McCray [D], Del. Angela Angel [D], Del. Ben Barnes [D], Del. Erek Barron [D], Del. Eric Bromwell [D], Del. Luke Clippinger [D], Del. William Frick [D], Sen. Antonio Hayes [D], Del. Terri Hill [D], Sen. Ariana Kelly"&amp;" [D], Del. Marc Korman [D], Del. Jazz Lewis [D], Del. Maggie McIntosh [D], Del. Marice Morales [D], Del. Andrew Platt [D], Del. Samuel Rosenberg [D], Del. Sheree Sample-Hughes [D], Del. Carlos Sanchez [D], Sen. Karen Lewis Young [D], Del. Pat Young [D], D"&amp;"el. Shane Pendergrass [D], Del. Bonnie Cullison [D], Del. Nicholaus Kipke [R], Del. Ric Metzgar [R], Del. Christian Miele [R], Del. Matt Morgan [R], Del. Sid Saab [R], Sen. Chris West [R]")</f>
        <v>Del. Joseline Pena-Melnyk [D], Sen. Cory McCray [D], Del. Angela Angel [D], Del. Ben Barnes [D], Del. Erek Barron [D], Del. Eric Bromwell [D], Del. Luke Clippinger [D], Del. William Frick [D], Sen. Antonio Hayes [D], Del. Terri Hill [D], Sen. Ariana Kelly [D], Del. Marc Korman [D], Del. Jazz Lewis [D], Del. Maggie McIntosh [D], Del. Marice Morales [D], Del. Andrew Platt [D], Del. Samuel Rosenberg [D], Del. Sheree Sample-Hughes [D], Del. Carlos Sanchez [D], Sen. Karen Lewis Young [D], Del. Pat Young [D], Del. Shane Pendergrass [D], Del. Bonnie Cullison [D], Del. Nicholaus Kipke [R], Del. Ric Metzgar [R], Del. Christian Miele [R], Del. Matt Morgan [R], Del. Sid Saab [R], Sen. Chris West [R]</v>
      </c>
      <c r="H129" s="6">
        <f t="shared" si="23"/>
        <v>29</v>
      </c>
      <c r="I129" s="5">
        <v>10.0</v>
      </c>
      <c r="J129" s="5">
        <v>19.0</v>
      </c>
      <c r="K129" s="5">
        <v>0.0</v>
      </c>
      <c r="L129" s="6">
        <f t="shared" si="12"/>
        <v>0.3448275862</v>
      </c>
      <c r="M129" s="5">
        <v>18.0</v>
      </c>
      <c r="N129" s="5">
        <v>7.0</v>
      </c>
      <c r="O129" s="5">
        <v>3.0</v>
      </c>
      <c r="P129" s="5">
        <v>0.0</v>
      </c>
      <c r="Q129" s="5">
        <v>0.0</v>
      </c>
      <c r="R129" s="5">
        <v>0.0</v>
      </c>
      <c r="S129" s="5">
        <v>1.0</v>
      </c>
      <c r="T129" s="6">
        <f t="shared" si="13"/>
        <v>0.3793103448</v>
      </c>
      <c r="U129" s="5">
        <f t="shared" ref="U129:U132" si="33">IF(G129 = "", "", (LEN(G129) - LEN(SUBSTITUTE(G129, "[D]", ""))) / 3)</f>
        <v>23</v>
      </c>
      <c r="V129" s="5">
        <f t="shared" si="31"/>
        <v>6</v>
      </c>
      <c r="W129" s="5">
        <f t="shared" si="32"/>
        <v>0</v>
      </c>
      <c r="X129" s="6">
        <f t="shared" si="17"/>
        <v>0.7931034483</v>
      </c>
    </row>
    <row r="130">
      <c r="A130" s="8" t="s">
        <v>29</v>
      </c>
      <c r="B130" s="8">
        <v>2018.0</v>
      </c>
      <c r="C130" s="8" t="s">
        <v>39</v>
      </c>
      <c r="D130" s="10" t="s">
        <v>308</v>
      </c>
      <c r="E130" s="8" t="s">
        <v>41</v>
      </c>
      <c r="F130" s="5" t="s">
        <v>309</v>
      </c>
      <c r="G130" s="5" t="str">
        <f>IFERROR(__xludf.DUMMYFUNCTION("""COMPUTED_VALUE"""),"Sen. Margaret Henry [D], Sen. Bryan Townsend [D], Rep. Debra Heffernan [D], Sen. Catherine Cloutier [R], Sen. Stephanie Hansen [D], Sen. Nicole Poore [D], Sen. David Sokola [D], Rep. Paul Baumbach [D], Rep. David Bentz [D], Rep. Stephanie Bolden [D], Rep."&amp;" James Johnson [D], Rep. Helene Keeley [D], Rep. John Kowalko [D], Rep. Sean Lynn [D], Sen. Charles Paradee [D], Rep. John Viola [D]")</f>
        <v>Sen. Margaret Henry [D], Sen. Bryan Townsend [D], Rep. Debra Heffernan [D], Sen. Catherine Cloutier [R], Sen. Stephanie Hansen [D], Sen. Nicole Poore [D], Sen. David Sokola [D], Rep. Paul Baumbach [D], Rep. David Bentz [D], Rep. Stephanie Bolden [D], Rep. James Johnson [D], Rep. Helene Keeley [D], Rep. John Kowalko [D], Rep. Sean Lynn [D], Sen. Charles Paradee [D], Rep. John Viola [D]</v>
      </c>
      <c r="H130" s="6">
        <f t="shared" si="23"/>
        <v>16</v>
      </c>
      <c r="I130" s="5">
        <v>7.0</v>
      </c>
      <c r="J130" s="5">
        <v>9.0</v>
      </c>
      <c r="K130" s="5">
        <v>0.0</v>
      </c>
      <c r="L130" s="6">
        <f t="shared" si="12"/>
        <v>0.4375</v>
      </c>
      <c r="M130" s="5">
        <v>13.0</v>
      </c>
      <c r="N130" s="5">
        <v>3.0</v>
      </c>
      <c r="O130" s="5">
        <v>0.0</v>
      </c>
      <c r="P130" s="5">
        <v>0.0</v>
      </c>
      <c r="Q130" s="5">
        <v>0.0</v>
      </c>
      <c r="R130" s="5">
        <v>0.0</v>
      </c>
      <c r="S130" s="5">
        <v>0.0</v>
      </c>
      <c r="T130" s="6">
        <f t="shared" si="13"/>
        <v>0.1875</v>
      </c>
      <c r="U130" s="5">
        <f t="shared" si="33"/>
        <v>15</v>
      </c>
      <c r="V130" s="5">
        <f t="shared" si="31"/>
        <v>1</v>
      </c>
      <c r="W130" s="5">
        <f t="shared" si="32"/>
        <v>0</v>
      </c>
      <c r="X130" s="6">
        <f t="shared" si="17"/>
        <v>0.9375</v>
      </c>
    </row>
    <row r="131">
      <c r="A131" s="8" t="s">
        <v>51</v>
      </c>
      <c r="B131" s="8">
        <v>2018.0</v>
      </c>
      <c r="C131" s="8" t="s">
        <v>39</v>
      </c>
      <c r="D131" s="9" t="s">
        <v>310</v>
      </c>
      <c r="E131" s="8" t="s">
        <v>41</v>
      </c>
      <c r="F131" s="5" t="s">
        <v>311</v>
      </c>
      <c r="G131" s="5" t="str">
        <f>IFERROR(__xludf.DUMMYFUNCTION("""COMPUTED_VALUE"""),"Rep. Paul Stearns [R], Rep. Brian Hubbell [D], Sen. Louis Luchini [D], Sen. Peter Lyford [R], Rep. Roger Reed [R]")</f>
        <v>Rep. Paul Stearns [R], Rep. Brian Hubbell [D], Sen. Louis Luchini [D], Sen. Peter Lyford [R], Rep. Roger Reed [R]</v>
      </c>
      <c r="H131" s="6">
        <f t="shared" si="23"/>
        <v>5</v>
      </c>
      <c r="I131" s="5">
        <v>0.0</v>
      </c>
      <c r="J131" s="5">
        <v>5.0</v>
      </c>
      <c r="K131" s="5">
        <v>0.0</v>
      </c>
      <c r="L131" s="6">
        <f t="shared" si="12"/>
        <v>0</v>
      </c>
      <c r="M131" s="5">
        <v>5.0</v>
      </c>
      <c r="N131" s="5">
        <v>0.0</v>
      </c>
      <c r="O131" s="5">
        <v>0.0</v>
      </c>
      <c r="P131" s="5">
        <v>0.0</v>
      </c>
      <c r="Q131" s="5">
        <v>0.0</v>
      </c>
      <c r="R131" s="5">
        <v>0.0</v>
      </c>
      <c r="S131" s="5">
        <v>0.0</v>
      </c>
      <c r="T131" s="6">
        <f t="shared" si="13"/>
        <v>0</v>
      </c>
      <c r="U131" s="5">
        <f t="shared" si="33"/>
        <v>2</v>
      </c>
      <c r="V131" s="5">
        <f t="shared" si="31"/>
        <v>3</v>
      </c>
      <c r="W131" s="5">
        <f t="shared" si="32"/>
        <v>0</v>
      </c>
      <c r="X131" s="6">
        <f t="shared" si="17"/>
        <v>0.4</v>
      </c>
    </row>
    <row r="132">
      <c r="A132" s="8" t="s">
        <v>114</v>
      </c>
      <c r="B132" s="8">
        <v>2018.0</v>
      </c>
      <c r="C132" s="8" t="s">
        <v>39</v>
      </c>
      <c r="D132" s="9" t="s">
        <v>312</v>
      </c>
      <c r="E132" s="8" t="s">
        <v>41</v>
      </c>
      <c r="F132" s="5" t="s">
        <v>313</v>
      </c>
      <c r="G132" s="5" t="str">
        <f>IFERROR(__xludf.DUMMYFUNCTION("""COMPUTED_VALUE"""),"Sen. Joanne Benson [D]")</f>
        <v>Sen. Joanne Benson [D]</v>
      </c>
      <c r="H132" s="6">
        <f t="shared" si="23"/>
        <v>1</v>
      </c>
      <c r="I132" s="5">
        <v>1.0</v>
      </c>
      <c r="J132" s="5">
        <v>0.0</v>
      </c>
      <c r="K132" s="5">
        <v>0.0</v>
      </c>
      <c r="L132" s="6">
        <f t="shared" si="12"/>
        <v>1</v>
      </c>
      <c r="M132" s="5">
        <v>0.0</v>
      </c>
      <c r="N132" s="5">
        <v>1.0</v>
      </c>
      <c r="O132" s="5">
        <v>0.0</v>
      </c>
      <c r="P132" s="5">
        <v>0.0</v>
      </c>
      <c r="Q132" s="5">
        <v>0.0</v>
      </c>
      <c r="R132" s="5">
        <v>0.0</v>
      </c>
      <c r="S132" s="5">
        <v>0.0</v>
      </c>
      <c r="T132" s="6">
        <f t="shared" si="13"/>
        <v>1</v>
      </c>
      <c r="U132" s="5">
        <f t="shared" si="33"/>
        <v>1</v>
      </c>
      <c r="V132" s="5">
        <f t="shared" si="31"/>
        <v>0</v>
      </c>
      <c r="W132" s="5">
        <f t="shared" si="32"/>
        <v>0</v>
      </c>
      <c r="X132" s="6">
        <f t="shared" si="17"/>
        <v>1</v>
      </c>
    </row>
    <row r="133">
      <c r="A133" s="8" t="s">
        <v>273</v>
      </c>
      <c r="B133" s="8">
        <v>2018.0</v>
      </c>
      <c r="C133" s="8" t="s">
        <v>39</v>
      </c>
      <c r="D133" s="10" t="s">
        <v>314</v>
      </c>
      <c r="E133" s="8" t="s">
        <v>41</v>
      </c>
      <c r="F133" s="5" t="s">
        <v>315</v>
      </c>
      <c r="G133" s="5" t="str">
        <f>IFERROR(__xludf.DUMMYFUNCTION("""COMPUTED_VALUE"""),"Rep. Mariellen MacKay [R], Rep. Jerry Knirk [D], Rep. Peter Schmidt [D], Rep. James MacKay [D], Rep. Richard Hinch [R], Rep. Donald LeBrun [R], Rep. Lynne Ober [R], Rep. William Marsh [D], Sen. Donna Soucy [D], Sen. John Reagan [R]")</f>
        <v>Rep. Mariellen MacKay [R], Rep. Jerry Knirk [D], Rep. Peter Schmidt [D], Rep. James MacKay [D], Rep. Richard Hinch [R], Rep. Donald LeBrun [R], Rep. Lynne Ober [R], Rep. William Marsh [D], Sen. Donna Soucy [D], Sen. John Reagan [R]</v>
      </c>
      <c r="H133" s="6">
        <f t="shared" si="23"/>
        <v>10</v>
      </c>
      <c r="I133" s="5">
        <v>3.0</v>
      </c>
      <c r="J133" s="5">
        <v>7.0</v>
      </c>
      <c r="K133" s="5">
        <v>0.0</v>
      </c>
      <c r="L133" s="6">
        <f t="shared" si="12"/>
        <v>0.3</v>
      </c>
      <c r="M133" s="5">
        <v>10.0</v>
      </c>
      <c r="N133" s="5">
        <v>0.0</v>
      </c>
      <c r="O133" s="5">
        <v>0.0</v>
      </c>
      <c r="P133" s="5">
        <v>0.0</v>
      </c>
      <c r="Q133" s="5">
        <v>0.0</v>
      </c>
      <c r="R133" s="5">
        <v>0.0</v>
      </c>
      <c r="S133" s="5">
        <v>0.0</v>
      </c>
      <c r="T133" s="6">
        <f t="shared" si="13"/>
        <v>0</v>
      </c>
      <c r="U133" s="5">
        <v>4.0</v>
      </c>
      <c r="V133" s="5">
        <v>6.0</v>
      </c>
      <c r="W133" s="5">
        <f t="shared" si="32"/>
        <v>0</v>
      </c>
      <c r="X133" s="6">
        <f t="shared" si="17"/>
        <v>0.4</v>
      </c>
    </row>
    <row r="134">
      <c r="A134" s="8" t="s">
        <v>65</v>
      </c>
      <c r="B134" s="8">
        <v>2018.0</v>
      </c>
      <c r="C134" s="8" t="s">
        <v>39</v>
      </c>
      <c r="D134" s="9" t="s">
        <v>316</v>
      </c>
      <c r="E134" s="8" t="s">
        <v>41</v>
      </c>
      <c r="F134" s="5" t="s">
        <v>317</v>
      </c>
      <c r="G134" s="5" t="str">
        <f>IFERROR(__xludf.DUMMYFUNCTION("""COMPUTED_VALUE"""),"Rep. Katherine Kazarian [D], Rep. Teresa Tanzi [D], Rep. Kathleen Fogarty [D], Rep. Joy Hearn [D], Rep. Edith Ajello [D]")</f>
        <v>Rep. Katherine Kazarian [D], Rep. Teresa Tanzi [D], Rep. Kathleen Fogarty [D], Rep. Joy Hearn [D], Rep. Edith Ajello [D]</v>
      </c>
      <c r="H134" s="6">
        <f t="shared" si="23"/>
        <v>5</v>
      </c>
      <c r="I134" s="5">
        <v>5.0</v>
      </c>
      <c r="J134" s="5">
        <v>0.0</v>
      </c>
      <c r="K134" s="5">
        <v>0.0</v>
      </c>
      <c r="L134" s="6">
        <f t="shared" si="12"/>
        <v>1</v>
      </c>
      <c r="M134" s="5">
        <v>5.0</v>
      </c>
      <c r="N134" s="5">
        <v>0.0</v>
      </c>
      <c r="O134" s="5">
        <v>0.0</v>
      </c>
      <c r="P134" s="5">
        <v>0.0</v>
      </c>
      <c r="Q134" s="5">
        <v>0.0</v>
      </c>
      <c r="R134" s="5">
        <v>0.0</v>
      </c>
      <c r="S134" s="5">
        <v>0.0</v>
      </c>
      <c r="T134" s="6">
        <f t="shared" si="13"/>
        <v>0</v>
      </c>
      <c r="U134" s="7">
        <f t="shared" ref="U134:U136" si="34">IF(G134 = "", "", (LEN(G134) - LEN(SUBSTITUTE(G134, "[D]", ""))) / 3)</f>
        <v>5</v>
      </c>
      <c r="V134" s="7">
        <f t="shared" ref="V134:V136" si="35">IF(G134 = "", "", (LEN(G134) - LEN(SUBSTITUTE(G134, "[R]", ""))) / 3)</f>
        <v>0</v>
      </c>
      <c r="W134" s="7">
        <f t="shared" si="32"/>
        <v>0</v>
      </c>
      <c r="X134" s="6">
        <f t="shared" si="17"/>
        <v>1</v>
      </c>
    </row>
    <row r="135">
      <c r="A135" s="8" t="s">
        <v>143</v>
      </c>
      <c r="B135" s="8">
        <v>2018.0</v>
      </c>
      <c r="C135" s="8" t="s">
        <v>39</v>
      </c>
      <c r="D135" s="14" t="s">
        <v>298</v>
      </c>
      <c r="E135" s="8" t="s">
        <v>41</v>
      </c>
      <c r="F135" s="5" t="s">
        <v>299</v>
      </c>
      <c r="G135" s="5" t="str">
        <f>IFERROR(__xludf.DUMMYFUNCTION("""COMPUTED_VALUE"""),"Sen. Steven Hobbs [D] Sen. Rebecca Saldana [D] Sen. Manka Dhingra [D] Sen. Kevin Ranker [D], Sen. Reuven Carlyle [D] Sen. Dean Takko [D] Sen. Patty Kuderer [D] Sen. Robert Hasegawa [D], Sen. Guy Palumbo [D] Sen. Maralyn Chase [D] Sen. Sharon Nelson [D] Se"&amp;"n. David Frockt [D], Sen. Karen Keiser [D] Sen. Lisa Wellman [D] Sen. Jeannie Darneille [D] Sen. Mark Mullet [D], Sen. Andrew Billig [D] Sen. Jamie Pedersen [D] Sen. Christine Rolfes [D] Sen. Samuel Hunt [D], Sen. Marko Liias [D]")</f>
        <v>Sen. Steven Hobbs [D] Sen. Rebecca Saldana [D] Sen. Manka Dhingra [D] Sen. Kevin Ranker [D], Sen. Reuven Carlyle [D] Sen. Dean Takko [D] Sen. Patty Kuderer [D] Sen. Robert Hasegawa [D], Sen. Guy Palumbo [D] Sen. Maralyn Chase [D] Sen. Sharon Nelson [D] Sen. David Frockt [D], Sen. Karen Keiser [D] Sen. Lisa Wellman [D] Sen. Jeannie Darneille [D] Sen. Mark Mullet [D], Sen. Andrew Billig [D] Sen. Jamie Pedersen [D] Sen. Christine Rolfes [D] Sen. Samuel Hunt [D], Sen. Marko Liias [D]</v>
      </c>
      <c r="H135" s="6">
        <f t="shared" si="23"/>
        <v>21</v>
      </c>
      <c r="I135" s="5">
        <v>9.0</v>
      </c>
      <c r="J135" s="5">
        <v>12.0</v>
      </c>
      <c r="K135" s="5">
        <v>0.0</v>
      </c>
      <c r="L135" s="6">
        <f t="shared" si="12"/>
        <v>0.4285714286</v>
      </c>
      <c r="M135" s="5">
        <v>17.0</v>
      </c>
      <c r="N135" s="5">
        <v>0.0</v>
      </c>
      <c r="O135" s="5">
        <v>1.0</v>
      </c>
      <c r="P135" s="5">
        <v>2.0</v>
      </c>
      <c r="Q135" s="5">
        <v>0.0</v>
      </c>
      <c r="R135" s="5">
        <v>0.0</v>
      </c>
      <c r="S135" s="5">
        <v>1.0</v>
      </c>
      <c r="T135" s="6">
        <f t="shared" si="13"/>
        <v>0.1904761905</v>
      </c>
      <c r="U135" s="7">
        <f t="shared" si="34"/>
        <v>21</v>
      </c>
      <c r="V135" s="7">
        <f t="shared" si="35"/>
        <v>0</v>
      </c>
      <c r="W135" s="7">
        <f t="shared" si="32"/>
        <v>0</v>
      </c>
      <c r="X135" s="6">
        <f t="shared" si="17"/>
        <v>1</v>
      </c>
    </row>
    <row r="136">
      <c r="A136" s="3" t="s">
        <v>114</v>
      </c>
      <c r="B136" s="3">
        <v>2018.0</v>
      </c>
      <c r="C136" s="3" t="s">
        <v>90</v>
      </c>
      <c r="D136" s="4" t="s">
        <v>318</v>
      </c>
      <c r="E136" s="3" t="s">
        <v>127</v>
      </c>
      <c r="F136" s="5" t="s">
        <v>319</v>
      </c>
      <c r="G136" s="5" t="str">
        <f>IFERROR(__xludf.DUMMYFUNCTION("""COMPUTED_VALUE"""),"Sen. Delores Kelley [D]")</f>
        <v>Sen. Delores Kelley [D]</v>
      </c>
      <c r="H136" s="6">
        <f t="shared" si="23"/>
        <v>1</v>
      </c>
      <c r="I136" s="5">
        <v>1.0</v>
      </c>
      <c r="J136" s="5">
        <v>0.0</v>
      </c>
      <c r="K136" s="5">
        <v>0.0</v>
      </c>
      <c r="L136" s="6">
        <f t="shared" si="12"/>
        <v>1</v>
      </c>
      <c r="M136" s="5">
        <v>0.0</v>
      </c>
      <c r="N136" s="5">
        <v>1.0</v>
      </c>
      <c r="O136" s="5">
        <v>0.0</v>
      </c>
      <c r="P136" s="5">
        <v>0.0</v>
      </c>
      <c r="Q136" s="5">
        <v>0.0</v>
      </c>
      <c r="R136" s="5">
        <v>0.0</v>
      </c>
      <c r="S136" s="5">
        <v>0.0</v>
      </c>
      <c r="T136" s="6">
        <f t="shared" si="13"/>
        <v>1</v>
      </c>
      <c r="U136" s="5">
        <f t="shared" si="34"/>
        <v>1</v>
      </c>
      <c r="V136" s="5">
        <f t="shared" si="35"/>
        <v>0</v>
      </c>
      <c r="W136" s="5">
        <f t="shared" si="32"/>
        <v>0</v>
      </c>
      <c r="X136" s="6">
        <f t="shared" si="17"/>
        <v>1</v>
      </c>
    </row>
    <row r="137">
      <c r="A137" s="3" t="s">
        <v>273</v>
      </c>
      <c r="B137" s="3">
        <v>2018.0</v>
      </c>
      <c r="C137" s="3" t="s">
        <v>90</v>
      </c>
      <c r="D137" s="4" t="s">
        <v>320</v>
      </c>
      <c r="E137" s="3" t="s">
        <v>259</v>
      </c>
      <c r="F137" s="5" t="s">
        <v>321</v>
      </c>
      <c r="G137" s="5" t="str">
        <f>IFERROR(__xludf.DUMMYFUNCTION("""COMPUTED_VALUE"""),"Sen. Donna Soucy [D] Sen. Jeb Bradley [R] Sen. Daniel Innis [R] Sen. Bette Lasky [D], Rep. Mariellen MacKay [R] Rep. Peter Schmidt [D] Sen. Shannon Chandley [D] Rep. William Marsh [D]")</f>
        <v>Sen. Donna Soucy [D] Sen. Jeb Bradley [R] Sen. Daniel Innis [R] Sen. Bette Lasky [D], Rep. Mariellen MacKay [R] Rep. Peter Schmidt [D] Sen. Shannon Chandley [D] Rep. William Marsh [D]</v>
      </c>
      <c r="H137" s="6">
        <f t="shared" si="23"/>
        <v>8</v>
      </c>
      <c r="I137" s="5">
        <v>4.0</v>
      </c>
      <c r="J137" s="5">
        <v>4.0</v>
      </c>
      <c r="K137" s="5">
        <v>0.0</v>
      </c>
      <c r="L137" s="6">
        <f t="shared" si="12"/>
        <v>0.5</v>
      </c>
      <c r="M137" s="5">
        <v>8.0</v>
      </c>
      <c r="N137" s="5">
        <v>0.0</v>
      </c>
      <c r="O137" s="5">
        <v>0.0</v>
      </c>
      <c r="P137" s="5">
        <v>0.0</v>
      </c>
      <c r="Q137" s="5">
        <v>0.0</v>
      </c>
      <c r="R137" s="5">
        <v>0.0</v>
      </c>
      <c r="S137" s="5">
        <v>0.0</v>
      </c>
      <c r="T137" s="6">
        <f t="shared" si="13"/>
        <v>0</v>
      </c>
      <c r="U137" s="5">
        <v>4.0</v>
      </c>
      <c r="V137" s="5">
        <v>4.0</v>
      </c>
      <c r="W137" s="5">
        <f t="shared" si="32"/>
        <v>0</v>
      </c>
      <c r="X137" s="6">
        <f t="shared" si="17"/>
        <v>0.5</v>
      </c>
    </row>
    <row r="138">
      <c r="A138" s="3" t="s">
        <v>189</v>
      </c>
      <c r="B138" s="3">
        <v>2018.0</v>
      </c>
      <c r="C138" s="3" t="s">
        <v>90</v>
      </c>
      <c r="D138" s="4" t="s">
        <v>236</v>
      </c>
      <c r="E138" s="3" t="s">
        <v>259</v>
      </c>
      <c r="F138" s="5" t="s">
        <v>279</v>
      </c>
      <c r="G138" s="5" t="str">
        <f>IFERROR(__xludf.DUMMYFUNCTION("""COMPUTED_VALUE"""),"Sen. Andrew Zwicker [D], Rep. Carol Murphy [D], Rep. Shavonda Sumter [D], Sen. Teresa Ruiz [D], Sen. Nellie Pou [D], Rep. Valerie Huttle [D], Rep. Pamela Lampitt [D], Rep. Nancy Pinkin [D], Sen. Angela Mcknight [D], Rep. Clinton Calabrese [D], Rep. Gabrie"&amp;"la Mosquera [D], Rep. Mila Jasey [D], Sen. Britnee Timberlake [D], Sen. Linda Greenstein [D], Rep. Herbert Conaway [D], Rep. Roy Freiman [D], Rep. Joann Downey [D], Rep. Yvonne Lopez [D]")</f>
        <v>Sen. Andrew Zwicker [D], Rep. Carol Murphy [D], Rep. Shavonda Sumter [D], Sen. Teresa Ruiz [D], Sen. Nellie Pou [D], Rep. Valerie Huttle [D], Rep. Pamela Lampitt [D], Rep. Nancy Pinkin [D], Sen. Angela Mcknight [D], Rep. Clinton Calabrese [D], Rep. Gabriela Mosquera [D], Rep. Mila Jasey [D], Sen. Britnee Timberlake [D], Sen. Linda Greenstein [D], Rep. Herbert Conaway [D], Rep. Roy Freiman [D], Rep. Joann Downey [D], Rep. Yvonne Lopez [D]</v>
      </c>
      <c r="H138" s="6">
        <f t="shared" si="23"/>
        <v>18</v>
      </c>
      <c r="I138" s="5">
        <v>14.0</v>
      </c>
      <c r="J138" s="5">
        <v>4.0</v>
      </c>
      <c r="K138" s="5">
        <v>0.0</v>
      </c>
      <c r="L138" s="6">
        <f t="shared" si="12"/>
        <v>0.7777777778</v>
      </c>
      <c r="M138" s="5">
        <v>12.0</v>
      </c>
      <c r="N138" s="5">
        <v>5.0</v>
      </c>
      <c r="O138" s="5">
        <v>1.0</v>
      </c>
      <c r="P138" s="5">
        <v>0.0</v>
      </c>
      <c r="Q138" s="5">
        <v>0.0</v>
      </c>
      <c r="R138" s="5">
        <v>0.0</v>
      </c>
      <c r="S138" s="5">
        <v>0.0</v>
      </c>
      <c r="T138" s="6">
        <f t="shared" si="13"/>
        <v>0.3333333333</v>
      </c>
      <c r="U138" s="5">
        <f t="shared" ref="U138:U139" si="36">IF(G138 = "", "", (LEN(G138) - LEN(SUBSTITUTE(G138, "[D]", ""))) / 3)</f>
        <v>18</v>
      </c>
      <c r="V138" s="5">
        <f t="shared" ref="V138:V139" si="37">IF(G138 = "", "", (LEN(G138) - LEN(SUBSTITUTE(G138, "[R]", ""))) / 3)</f>
        <v>0</v>
      </c>
      <c r="W138" s="5">
        <f t="shared" si="32"/>
        <v>0</v>
      </c>
      <c r="X138" s="6">
        <f t="shared" si="17"/>
        <v>1</v>
      </c>
    </row>
    <row r="139">
      <c r="A139" s="3" t="s">
        <v>143</v>
      </c>
      <c r="B139" s="3">
        <v>2018.0</v>
      </c>
      <c r="C139" s="3" t="s">
        <v>90</v>
      </c>
      <c r="D139" s="4" t="s">
        <v>298</v>
      </c>
      <c r="E139" s="3" t="s">
        <v>127</v>
      </c>
      <c r="F139" s="5" t="s">
        <v>299</v>
      </c>
      <c r="G139" s="5" t="str">
        <f>IFERROR(__xludf.DUMMYFUNCTION("""COMPUTED_VALUE"""),"Sen. Steven Hobbs [D] Sen. Rebecca Saldana [D] Sen. Manka Dhingra [D] Sen. Kevin Ranker [D], Sen. Reuven Carlyle [D] Sen. Dean Takko [D] Sen. Patty Kuderer [D] Sen. Robert Hasegawa [D], Sen. Guy Palumbo [D] Sen. Maralyn Chase [D] Sen. Sharon Nelson [D] Se"&amp;"n. David Frockt [D], Sen. Karen Keiser [D] Sen. Lisa Wellman [D] Sen. Jeannie Darneille [D] Sen. Mark Mullet [D], Sen. Andrew Billig [D] Sen. Jamie Pedersen [D] Sen. Christine Rolfes [D] Sen. Samuel Hunt [D], Sen. Marko Liias [D]")</f>
        <v>Sen. Steven Hobbs [D] Sen. Rebecca Saldana [D] Sen. Manka Dhingra [D] Sen. Kevin Ranker [D], Sen. Reuven Carlyle [D] Sen. Dean Takko [D] Sen. Patty Kuderer [D] Sen. Robert Hasegawa [D], Sen. Guy Palumbo [D] Sen. Maralyn Chase [D] Sen. Sharon Nelson [D] Sen. David Frockt [D], Sen. Karen Keiser [D] Sen. Lisa Wellman [D] Sen. Jeannie Darneille [D] Sen. Mark Mullet [D], Sen. Andrew Billig [D] Sen. Jamie Pedersen [D] Sen. Christine Rolfes [D] Sen. Samuel Hunt [D], Sen. Marko Liias [D]</v>
      </c>
      <c r="H139" s="6">
        <f t="shared" si="23"/>
        <v>21</v>
      </c>
      <c r="I139" s="5">
        <v>9.0</v>
      </c>
      <c r="J139" s="5">
        <v>12.0</v>
      </c>
      <c r="K139" s="5">
        <v>0.0</v>
      </c>
      <c r="L139" s="6">
        <f t="shared" si="12"/>
        <v>0.4285714286</v>
      </c>
      <c r="M139" s="5">
        <v>17.0</v>
      </c>
      <c r="N139" s="5">
        <v>0.0</v>
      </c>
      <c r="O139" s="5">
        <v>1.0</v>
      </c>
      <c r="P139" s="5">
        <v>2.0</v>
      </c>
      <c r="Q139" s="5">
        <v>0.0</v>
      </c>
      <c r="R139" s="5">
        <v>0.0</v>
      </c>
      <c r="S139" s="5">
        <v>1.0</v>
      </c>
      <c r="T139" s="6">
        <f t="shared" si="13"/>
        <v>0.1904761905</v>
      </c>
      <c r="U139" s="7">
        <f t="shared" si="36"/>
        <v>21</v>
      </c>
      <c r="V139" s="7">
        <f t="shared" si="37"/>
        <v>0</v>
      </c>
      <c r="W139" s="7">
        <f t="shared" si="32"/>
        <v>0</v>
      </c>
      <c r="X139" s="6">
        <f t="shared" si="17"/>
        <v>1</v>
      </c>
    </row>
    <row r="140">
      <c r="A140" s="3" t="s">
        <v>125</v>
      </c>
      <c r="B140" s="3">
        <v>2018.0</v>
      </c>
      <c r="C140" s="3" t="s">
        <v>95</v>
      </c>
      <c r="D140" s="7" t="s">
        <v>126</v>
      </c>
      <c r="E140" s="3" t="s">
        <v>99</v>
      </c>
      <c r="F140" s="5" t="s">
        <v>128</v>
      </c>
      <c r="G140" s="6" t="str">
        <f>IFERROR(__xludf.DUMMYFUNCTION("""COMPUTED_VALUE"""),"Rep. Christine Conley, Rep. Linda M. Gentile, Sen. Gayle S. Slossberg, Sen. Steve Cassano, Rep. Linda A. Orange, Rep. Joe de la Cruz, Rep. Robyn A. Porter, Rep. Roland J. Lemar, Rep. Patricia A. Dillon, Rep. James M. Albis, Rep. Joseph P. Gresko, Rep. Mar"&amp;"y M. Mushinsky, Rep. Andrew M. Fleischmann, Rep. Livvy R. Floren, Rep. Terrie E. Wood, Rep. Jeff Currey, Rep. Devin R. Carney, Rep. Russell A. Morin, Rep. Sean Scanlon, Rep. Gregory Haddad, Rep. Terry B. Adams, Rep. Cristin McCarthy Vahey, Rep. Liz Lineha"&amp;"n, Rep. Peter A. Tercyak, Rep. Kim Rose, Rep. Michael Winkler, Rep. Susan M. Johnson, Rep. Josh Elliott, Sen. Mae Flexer, Rep. Noreen S. Kokoruda, Rep. Gail Lavielle, Sen. Marilyn V. Moore, Rep. Diana S. Urban, Rep. Scott A. Storms, Rep. Laura M. Devlin, "&amp;"Rep. Melissa H. Ziobron, Rep. Philip L. Young, Rep. Tom Delnicki, Rep. Bob Godfrey, Rep. Gary Byron, Rep. Jonathan Steinberg, Rep. Juan R. Candelaria, Rep. Bruce V. Morris, Rep. John H. Frey, Rep. Chris Perone, Rep. Antonio Guerrera, Rep. Steven J. Stafst"&amp;"rom, Rep. Matthew Lesser, Rep. Caroline Simmons, Rep. Derek Slap, Rep. Joshua Malik Hall, Sen. George S. Logan, Sen. Terry B. Gerratana, Sen. Beth Bye, Rep. Mike Demicco, Sen. Carlo Leone, Sen. Catherine A. Osten, Sen. Martin M. Looney, Sen. Bob Duff, Sen"&amp;". Henri Martin, Sen. Heather B. Somers")</f>
        <v>Rep. Christine Conley, Rep. Linda M. Gentile, Sen. Gayle S. Slossberg, Sen. Steve Cassano, Rep. Linda A. Orange, Rep. Joe de la Cruz, Rep. Robyn A. Porter, Rep. Roland J. Lemar, Rep. Patricia A. Dillon, Rep. James M. Albis, Rep. Joseph P. Gresko, Rep. Mary M. Mushinsky, Rep. Andrew M. Fleischmann, Rep. Livvy R. Floren, Rep. Terrie E. Wood, Rep. Jeff Currey, Rep. Devin R. Carney, Rep. Russell A. Morin, Rep. Sean Scanlon, Rep. Gregory Haddad, Rep. Terry B. Adams, Rep. Cristin McCarthy Vahey, Rep. Liz Linehan, Rep. Peter A. Tercyak, Rep. Kim Rose, Rep. Michael Winkler, Rep. Susan M. Johnson, Rep. Josh Elliott, Sen. Mae Flexer, Rep. Noreen S. Kokoruda, Rep. Gail Lavielle, Sen. Marilyn V. Moore, Rep. Diana S. Urban, Rep. Scott A. Storms, Rep. Laura M. Devlin, Rep. Melissa H. Ziobron, Rep. Philip L. Young, Rep. Tom Delnicki, Rep. Bob Godfrey, Rep. Gary Byron, Rep. Jonathan Steinberg, Rep. Juan R. Candelaria, Rep. Bruce V. Morris, Rep. John H. Frey, Rep. Chris Perone, Rep. Antonio Guerrera, Rep. Steven J. Stafstrom, Rep. Matthew Lesser, Rep. Caroline Simmons, Rep. Derek Slap, Rep. Joshua Malik Hall, Sen. George S. Logan, Sen. Terry B. Gerratana, Sen. Beth Bye, Rep. Mike Demicco, Sen. Carlo Leone, Sen. Catherine A. Osten, Sen. Martin M. Looney, Sen. Bob Duff, Sen. Henri Martin, Sen. Heather B. Somers</v>
      </c>
      <c r="H140" s="6">
        <f t="shared" si="23"/>
        <v>61</v>
      </c>
      <c r="I140" s="5">
        <v>25.0</v>
      </c>
      <c r="J140" s="5">
        <v>36.0</v>
      </c>
      <c r="K140" s="5">
        <v>0.0</v>
      </c>
      <c r="L140" s="6">
        <f t="shared" si="12"/>
        <v>0.4098360656</v>
      </c>
      <c r="M140" s="5">
        <v>52.0</v>
      </c>
      <c r="N140" s="5">
        <v>6.0</v>
      </c>
      <c r="O140" s="5">
        <v>3.0</v>
      </c>
      <c r="P140" s="5">
        <v>0.0</v>
      </c>
      <c r="Q140" s="5">
        <v>0.0</v>
      </c>
      <c r="R140" s="5">
        <v>0.0</v>
      </c>
      <c r="S140" s="5">
        <v>0.0</v>
      </c>
      <c r="T140" s="6">
        <f t="shared" si="13"/>
        <v>0.1475409836</v>
      </c>
      <c r="U140" s="5">
        <v>47.0</v>
      </c>
      <c r="V140" s="5">
        <v>14.0</v>
      </c>
      <c r="W140" s="5">
        <v>0.0</v>
      </c>
      <c r="X140" s="6">
        <f t="shared" si="17"/>
        <v>0.7704918033</v>
      </c>
    </row>
    <row r="141">
      <c r="A141" s="3" t="s">
        <v>29</v>
      </c>
      <c r="B141" s="3">
        <v>2018.0</v>
      </c>
      <c r="C141" s="3" t="s">
        <v>95</v>
      </c>
      <c r="D141" s="7" t="s">
        <v>308</v>
      </c>
      <c r="E141" s="3" t="s">
        <v>99</v>
      </c>
      <c r="F141" s="5" t="s">
        <v>309</v>
      </c>
      <c r="G141" s="5" t="str">
        <f>IFERROR(__xludf.DUMMYFUNCTION("""COMPUTED_VALUE"""),"Sen. Margaret Henry [D], Sen. Bryan Townsend [D], Rep. Debra Heffernan [D], Sen. Catherine Cloutier [R], Sen. Stephanie Hansen [D], Sen. Nicole Poore [D], Sen. David Sokola [D], Rep. Paul Baumbach [D], Rep. David Bentz [D], Rep. Stephanie Bolden [D], Rep."&amp;" James Johnson [D], Rep. Helene Keeley [D], Rep. John Kowalko [D], Rep. Sean Lynn [D], Sen. Charles Paradee [D], Rep. John Viola [D]")</f>
        <v>Sen. Margaret Henry [D], Sen. Bryan Townsend [D], Rep. Debra Heffernan [D], Sen. Catherine Cloutier [R], Sen. Stephanie Hansen [D], Sen. Nicole Poore [D], Sen. David Sokola [D], Rep. Paul Baumbach [D], Rep. David Bentz [D], Rep. Stephanie Bolden [D], Rep. James Johnson [D], Rep. Helene Keeley [D], Rep. John Kowalko [D], Rep. Sean Lynn [D], Sen. Charles Paradee [D], Rep. John Viola [D]</v>
      </c>
      <c r="H141" s="6">
        <f t="shared" si="23"/>
        <v>16</v>
      </c>
      <c r="I141" s="5">
        <v>7.0</v>
      </c>
      <c r="J141" s="5">
        <v>9.0</v>
      </c>
      <c r="K141" s="5">
        <v>0.0</v>
      </c>
      <c r="L141" s="6">
        <f t="shared" si="12"/>
        <v>0.4375</v>
      </c>
      <c r="M141" s="5">
        <v>13.0</v>
      </c>
      <c r="N141" s="5">
        <v>3.0</v>
      </c>
      <c r="O141" s="5">
        <v>0.0</v>
      </c>
      <c r="P141" s="5">
        <v>0.0</v>
      </c>
      <c r="Q141" s="5">
        <v>0.0</v>
      </c>
      <c r="R141" s="5">
        <v>0.0</v>
      </c>
      <c r="S141" s="5">
        <v>0.0</v>
      </c>
      <c r="T141" s="6">
        <f t="shared" si="13"/>
        <v>0.1875</v>
      </c>
      <c r="U141" s="5">
        <f t="shared" ref="U141:U142" si="38">IF(G141 = "", "", (LEN(G141) - LEN(SUBSTITUTE(G141, "[D]", ""))) / 3)</f>
        <v>15</v>
      </c>
      <c r="V141" s="5">
        <f t="shared" ref="V141:V142" si="39">IF(G141 = "", "", (LEN(G141) - LEN(SUBSTITUTE(G141, "[R]", ""))) / 3)</f>
        <v>1</v>
      </c>
      <c r="W141" s="5">
        <f t="shared" ref="W141:W147" si="40">IF(G141 = "", "", (LEN(G141) - LEN(SUBSTITUTE(G141, "[I]", ""))) / 3)</f>
        <v>0</v>
      </c>
      <c r="X141" s="6">
        <f t="shared" si="17"/>
        <v>0.9375</v>
      </c>
    </row>
    <row r="142">
      <c r="A142" s="3" t="s">
        <v>114</v>
      </c>
      <c r="B142" s="3">
        <v>2018.0</v>
      </c>
      <c r="C142" s="3" t="s">
        <v>95</v>
      </c>
      <c r="D142" s="4" t="s">
        <v>322</v>
      </c>
      <c r="E142" s="3" t="s">
        <v>99</v>
      </c>
      <c r="F142" s="5" t="s">
        <v>323</v>
      </c>
      <c r="G142" s="5" t="str">
        <f>IFERROR(__xludf.DUMMYFUNCTION("""COMPUTED_VALUE"""),"Sen. Ariana Kelly [D], Del. Bilal Ali [D], Del. Curtis Anderson [D], Del. Angela Angel [D], Del. Vanessa Atterbeary [D], Del. Charles Barkley [D], Del. Ben Barnes [D], Del. Darryl Barnes [D], Del. Erek Barron [D], Del. Kumar Barve [D], Del. Talmadge Branc"&amp;"h [D], Sen. Benjamin Brooks [D], Del. Alfred Carr [D], Del. Luke Clippinger [D], Del. Dereck Davis [D], Del. Kathleen Dumais [D], Del. Eric Ebersole [D], Del. Diana Fennell [D], Del. Bob Flanagan [R], Del. David Fraser-hidalgo [D], Del. William Frick [D],"&amp;" Del. Barbara Frush [D], Del. Tawanna Gaines [D], Del. Angela Gibson [D], Del. James Gilchrist [D], Del. Cheryl Glenn [D], Del. Ana Gutierrez [D], Sen. Antonio Hayes [D], Del. Keith Haynes [D], Sen. Shelly Hettleman [D], Del. Sheila Hixson [D], Del. Marvi"&amp;"n Holmes [D], Del. Carolyn Howard [D], Del. Jay Jalisi [D], Del. Adrienne Jones [D], Del. Anne Kaiser [D], Del. Tony Knotts [D], Del. Marc Korman [D], Sen. Benjamin Kramer [D], Sen. Clarence Lam [D], Del. Jazz Lewis [D], Del. Robbyn Lewis [D], Del. Brooke"&amp;" Lierman [D], Del. Mary Ann Lisanti [D], Del. Eric Luedtke [D], Sen. Cory McCray [D], Del. Maggie McIntosh [D], Del. Aruna Miller [D], Del. David Moon [D], Del. Marice Morales [D], Del. Dan Morhaim [D], Del. Nick Mosby [D], Del. Edith Patterson [D], Del. "&amp;"Joseline Pena-Melnyk [D], Del. Andrew Platt [D], Del. Elizabeth Proctor [D], Del. Pamela Queen [D], Del. Kirill Reznik [D], Del. Shane Robinson [D], Del. Samuel Rosenberg [D], Del. Sheree Sample-Hughes [D], Del. Carlos Sanchez [D], Del. Dana Stein [D], Se"&amp;"n. Charles Sydnor [D], Del. James Tarlau [D], Del. Frank Turner [D], Del. Kriselda Valderrama [D], Sen. Jeff Waldstreicher [D], Sen. Alonzo Washington [D], Sen. Mary Washington [D], Del. Jheanelle Wilkins [D], Sen. Karen Lewis Young [D], Del. Pat Young [D"&amp;"], Del. Shane Pendergrass [D], Del. Bonnie Cullison [D], Del. Terri Hill [D], Del. Nicholaus Kipke [R], Del. Christian Miele [R]")</f>
        <v>Sen. Ariana Kelly [D], Del. Bilal Ali [D], Del. Curtis Anderson [D], Del. Angela Angel [D], Del. Vanessa Atterbeary [D], Del. Charles Barkley [D], Del. Ben Barnes [D], Del. Darryl Barnes [D], Del. Erek Barron [D], Del. Kumar Barve [D], Del. Talmadge Branch [D], Sen. Benjamin Brooks [D], Del. Alfred Carr [D], Del. Luke Clippinger [D], Del. Dereck Davis [D], Del. Kathleen Dumais [D], Del. Eric Ebersole [D], Del. Diana Fennell [D], Del. Bob Flanagan [R], Del. David Fraser-hidalgo [D], Del. William Frick [D], Del. Barbara Frush [D], Del. Tawanna Gaines [D], Del. Angela Gibson [D], Del. James Gilchrist [D], Del. Cheryl Glenn [D], Del. Ana Gutierrez [D], Sen. Antonio Hayes [D], Del. Keith Haynes [D], Sen. Shelly Hettleman [D], Del. Sheila Hixson [D], Del. Marvin Holmes [D], Del. Carolyn Howard [D], Del. Jay Jalisi [D], Del. Adrienne Jones [D], Del. Anne Kaiser [D], Del. Tony Knotts [D], Del. Marc Korman [D], Sen. Benjamin Kramer [D], Sen. Clarence Lam [D], Del. Jazz Lewis [D], Del. Robbyn Lewis [D], Del. Brooke Lierman [D], Del. Mary Ann Lisanti [D], Del. Eric Luedtke [D], Sen. Cory McCray [D], Del. Maggie McIntosh [D], Del. Aruna Miller [D], Del. David Moon [D], Del. Marice Morales [D], Del. Dan Morhaim [D], Del. Nick Mosby [D], Del. Edith Patterson [D], Del. Joseline Pena-Melnyk [D], Del. Andrew Platt [D], Del. Elizabeth Proctor [D], Del. Pamela Queen [D], Del. Kirill Reznik [D], Del. Shane Robinson [D], Del. Samuel Rosenberg [D], Del. Sheree Sample-Hughes [D], Del. Carlos Sanchez [D], Del. Dana Stein [D], Sen. Charles Sydnor [D], Del. James Tarlau [D], Del. Frank Turner [D], Del. Kriselda Valderrama [D], Sen. Jeff Waldstreicher [D], Sen. Alonzo Washington [D], Sen. Mary Washington [D], Del. Jheanelle Wilkins [D], Sen. Karen Lewis Young [D], Del. Pat Young [D], Del. Shane Pendergrass [D], Del. Bonnie Cullison [D], Del. Terri Hill [D], Del. Nicholaus Kipke [R], Del. Christian Miele [R]</v>
      </c>
      <c r="H142" s="6">
        <f t="shared" si="23"/>
        <v>78</v>
      </c>
      <c r="I142" s="5">
        <v>33.0</v>
      </c>
      <c r="J142" s="5">
        <v>45.0</v>
      </c>
      <c r="K142" s="5">
        <v>0.0</v>
      </c>
      <c r="L142" s="6">
        <f t="shared" si="12"/>
        <v>0.4230769231</v>
      </c>
      <c r="M142" s="5">
        <v>35.0</v>
      </c>
      <c r="N142" s="5">
        <v>34.0</v>
      </c>
      <c r="O142" s="5">
        <v>3.0</v>
      </c>
      <c r="P142" s="5">
        <v>5.0</v>
      </c>
      <c r="Q142" s="5">
        <v>0.0</v>
      </c>
      <c r="R142" s="5">
        <v>0.0</v>
      </c>
      <c r="S142" s="5">
        <v>1.0</v>
      </c>
      <c r="T142" s="6">
        <f t="shared" si="13"/>
        <v>0.5512820513</v>
      </c>
      <c r="U142" s="5">
        <f t="shared" si="38"/>
        <v>75</v>
      </c>
      <c r="V142" s="5">
        <f t="shared" si="39"/>
        <v>3</v>
      </c>
      <c r="W142" s="5">
        <f t="shared" si="40"/>
        <v>0</v>
      </c>
      <c r="X142" s="6">
        <f t="shared" si="17"/>
        <v>0.9615384615</v>
      </c>
    </row>
    <row r="143">
      <c r="A143" s="3" t="s">
        <v>273</v>
      </c>
      <c r="B143" s="3">
        <v>2018.0</v>
      </c>
      <c r="C143" s="3" t="s">
        <v>95</v>
      </c>
      <c r="D143" s="4" t="s">
        <v>320</v>
      </c>
      <c r="E143" s="3" t="s">
        <v>99</v>
      </c>
      <c r="F143" s="5" t="s">
        <v>321</v>
      </c>
      <c r="G143" s="5" t="str">
        <f>IFERROR(__xludf.DUMMYFUNCTION("""COMPUTED_VALUE"""),"Sen. Donna Soucy [D] Sen. Jeb Bradley [R] Sen. Daniel Innis [R] Sen. Bette Lasky [D], Rep. Mariellen MacKay [R] Rep. Peter Schmidt [D] Sen. Shannon Chandley [D] Rep. William Marsh [D]")</f>
        <v>Sen. Donna Soucy [D] Sen. Jeb Bradley [R] Sen. Daniel Innis [R] Sen. Bette Lasky [D], Rep. Mariellen MacKay [R] Rep. Peter Schmidt [D] Sen. Shannon Chandley [D] Rep. William Marsh [D]</v>
      </c>
      <c r="H143" s="6">
        <f t="shared" si="23"/>
        <v>8</v>
      </c>
      <c r="I143" s="5">
        <v>4.0</v>
      </c>
      <c r="J143" s="5">
        <v>4.0</v>
      </c>
      <c r="K143" s="5">
        <v>0.0</v>
      </c>
      <c r="L143" s="6">
        <f t="shared" si="12"/>
        <v>0.5</v>
      </c>
      <c r="M143" s="5">
        <v>8.0</v>
      </c>
      <c r="N143" s="5">
        <v>0.0</v>
      </c>
      <c r="O143" s="5">
        <v>0.0</v>
      </c>
      <c r="P143" s="5">
        <v>0.0</v>
      </c>
      <c r="Q143" s="5">
        <v>0.0</v>
      </c>
      <c r="R143" s="5">
        <v>0.0</v>
      </c>
      <c r="S143" s="5">
        <v>0.0</v>
      </c>
      <c r="T143" s="6">
        <f t="shared" si="13"/>
        <v>0</v>
      </c>
      <c r="U143" s="5">
        <v>4.0</v>
      </c>
      <c r="V143" s="5">
        <v>4.0</v>
      </c>
      <c r="W143" s="5">
        <f t="shared" si="40"/>
        <v>0</v>
      </c>
      <c r="X143" s="6">
        <f t="shared" si="17"/>
        <v>0.5</v>
      </c>
    </row>
    <row r="144">
      <c r="A144" s="3" t="s">
        <v>65</v>
      </c>
      <c r="B144" s="3">
        <v>2018.0</v>
      </c>
      <c r="C144" s="3" t="s">
        <v>95</v>
      </c>
      <c r="D144" s="4" t="s">
        <v>324</v>
      </c>
      <c r="E144" s="3" t="s">
        <v>183</v>
      </c>
      <c r="F144" s="5" t="s">
        <v>325</v>
      </c>
      <c r="G144" s="5" t="str">
        <f>IFERROR(__xludf.DUMMYFUNCTION("""COMPUTED_VALUE"""),"Sen. Daniel DaPonte [D], Sen. William Conley [D], Sen. Ryan Pearson [D], Sen. Gayle Goldin [D], Sen. Louis Dipalma [D]")</f>
        <v>Sen. Daniel DaPonte [D], Sen. William Conley [D], Sen. Ryan Pearson [D], Sen. Gayle Goldin [D], Sen. Louis Dipalma [D]</v>
      </c>
      <c r="H144" s="6">
        <f t="shared" si="23"/>
        <v>5</v>
      </c>
      <c r="I144" s="5">
        <v>1.0</v>
      </c>
      <c r="J144" s="5">
        <v>4.0</v>
      </c>
      <c r="K144" s="5">
        <v>0.0</v>
      </c>
      <c r="L144" s="6">
        <f t="shared" si="12"/>
        <v>0.2</v>
      </c>
      <c r="M144" s="5">
        <v>5.0</v>
      </c>
      <c r="N144" s="5">
        <v>0.0</v>
      </c>
      <c r="O144" s="5">
        <v>0.0</v>
      </c>
      <c r="P144" s="5">
        <v>0.0</v>
      </c>
      <c r="Q144" s="5">
        <v>0.0</v>
      </c>
      <c r="R144" s="5">
        <v>0.0</v>
      </c>
      <c r="S144" s="5">
        <v>0.0</v>
      </c>
      <c r="T144" s="6">
        <f t="shared" si="13"/>
        <v>0</v>
      </c>
      <c r="U144" s="7">
        <f t="shared" ref="U144:U147" si="41">IF(G144 = "", "", (LEN(G144) - LEN(SUBSTITUTE(G144, "[D]", ""))) / 3)</f>
        <v>5</v>
      </c>
      <c r="V144" s="7">
        <f t="shared" ref="V144:V147" si="42">IF(G144 = "", "", (LEN(G144) - LEN(SUBSTITUTE(G144, "[R]", ""))) / 3)</f>
        <v>0</v>
      </c>
      <c r="W144" s="7">
        <f t="shared" si="40"/>
        <v>0</v>
      </c>
      <c r="X144" s="6">
        <f t="shared" si="17"/>
        <v>1</v>
      </c>
    </row>
    <row r="145">
      <c r="A145" s="3" t="s">
        <v>143</v>
      </c>
      <c r="B145" s="3">
        <v>2018.0</v>
      </c>
      <c r="C145" s="3" t="s">
        <v>95</v>
      </c>
      <c r="D145" s="4" t="s">
        <v>298</v>
      </c>
      <c r="E145" s="3" t="s">
        <v>183</v>
      </c>
      <c r="F145" s="5" t="s">
        <v>299</v>
      </c>
      <c r="G145" s="5" t="str">
        <f>IFERROR(__xludf.DUMMYFUNCTION("""COMPUTED_VALUE"""),"Sen. Steven Hobbs [D] Sen. Rebecca Saldana [D] Sen. Manka Dhingra [D] Sen. Kevin Ranker [D], Sen. Reuven Carlyle [D] Sen. Dean Takko [D] Sen. Patty Kuderer [D] Sen. Robert Hasegawa [D], Sen. Guy Palumbo [D] Sen. Maralyn Chase [D] Sen. Sharon Nelson [D] Se"&amp;"n. David Frockt [D], Sen. Karen Keiser [D] Sen. Lisa Wellman [D] Sen. Jeannie Darneille [D] Sen. Mark Mullet [D], Sen. Andrew Billig [D] Sen. Jamie Pedersen [D] Sen. Christine Rolfes [D] Sen. Samuel Hunt [D], Sen. Marko Liias [D]")</f>
        <v>Sen. Steven Hobbs [D] Sen. Rebecca Saldana [D] Sen. Manka Dhingra [D] Sen. Kevin Ranker [D], Sen. Reuven Carlyle [D] Sen. Dean Takko [D] Sen. Patty Kuderer [D] Sen. Robert Hasegawa [D], Sen. Guy Palumbo [D] Sen. Maralyn Chase [D] Sen. Sharon Nelson [D] Sen. David Frockt [D], Sen. Karen Keiser [D] Sen. Lisa Wellman [D] Sen. Jeannie Darneille [D] Sen. Mark Mullet [D], Sen. Andrew Billig [D] Sen. Jamie Pedersen [D] Sen. Christine Rolfes [D] Sen. Samuel Hunt [D], Sen. Marko Liias [D]</v>
      </c>
      <c r="H145" s="6">
        <f t="shared" si="23"/>
        <v>21</v>
      </c>
      <c r="I145" s="5">
        <v>9.0</v>
      </c>
      <c r="J145" s="5">
        <v>12.0</v>
      </c>
      <c r="K145" s="5">
        <v>0.0</v>
      </c>
      <c r="L145" s="6">
        <f t="shared" si="12"/>
        <v>0.4285714286</v>
      </c>
      <c r="M145" s="5">
        <v>17.0</v>
      </c>
      <c r="N145" s="5">
        <v>0.0</v>
      </c>
      <c r="O145" s="5">
        <v>1.0</v>
      </c>
      <c r="P145" s="5">
        <v>2.0</v>
      </c>
      <c r="Q145" s="5">
        <v>0.0</v>
      </c>
      <c r="R145" s="5">
        <v>0.0</v>
      </c>
      <c r="S145" s="5">
        <v>1.0</v>
      </c>
      <c r="T145" s="6">
        <f t="shared" si="13"/>
        <v>0.1904761905</v>
      </c>
      <c r="U145" s="7">
        <f t="shared" si="41"/>
        <v>21</v>
      </c>
      <c r="V145" s="7">
        <f t="shared" si="42"/>
        <v>0</v>
      </c>
      <c r="W145" s="7">
        <f t="shared" si="40"/>
        <v>0</v>
      </c>
      <c r="X145" s="6">
        <f t="shared" si="17"/>
        <v>1</v>
      </c>
    </row>
    <row r="146">
      <c r="A146" s="3" t="s">
        <v>135</v>
      </c>
      <c r="B146" s="3">
        <v>2017.0</v>
      </c>
      <c r="C146" s="3" t="s">
        <v>197</v>
      </c>
      <c r="D146" s="4" t="s">
        <v>326</v>
      </c>
      <c r="E146" s="3" t="s">
        <v>199</v>
      </c>
      <c r="F146" s="5" t="s">
        <v>327</v>
      </c>
      <c r="G146" s="5" t="str">
        <f>IFERROR(__xludf.DUMMYFUNCTION("""COMPUTED_VALUE"""),"Rep. Jeff Barker [D], Rep. Jennifer Williamson [D], Rep. Julianne Fahey [D], Sen. Richard Devlin [D], Sen. Laurie Monnes Anderson [D], Rep. Teresa Alonso Leon [D], Rep. Deborah Boone [D], Rep. David Gomberg [D], Rep. Ken Helm [D], Rep. Diego Hernandez [D]"&amp;", Rep. Paul Holvey [D], Rep. Alissa Keny-Guyer [D], Rep. Ann Lininger [D], Rep. Sheri Malstrom Schouten [D], Rep. Pam Marsh [D], Rep. Susan McLain [D], Sen. Mark Meek [D], Rep. Robert Nosse [D], Rep. Carla Piluso [D], Rep. Karin Power [D], Rep. Dan Rayfie"&amp;"ld [D], Rep. Jeff Reardon [D], Rep. Tawna Sanchez [D], Rep. Barbara Warner [D], Sen. Janeen Sollman [D], Rep. Bradley Witt [D], Sen. Leslee Beyer [D], Sen. Michael Dembrow [D], Sen. Lew Frederick [D], Sen. Sara Gelser Blouin [D], Sen. James Manning [D], S"&amp;"en. Floyd Prozanski [D], Sen. Charles Riley [D], Sen. Elizabeth Steiner Hayward [D], Sen. Kathleen Taylor [D]")</f>
        <v>Rep. Jeff Barker [D], Rep. Jennifer Williamson [D], Rep. Julianne Fahey [D], Sen. Richard Devlin [D], Sen. Laurie Monnes Anderson [D], Rep. Teresa Alonso Leon [D], Rep. Deborah Boone [D], Rep. David Gomberg [D], Rep. Ken Helm [D], Rep. Diego Hernandez [D], Rep. Paul Holvey [D], Rep. Alissa Keny-Guyer [D], Rep. Ann Lininger [D], Rep. Sheri Malstrom Schouten [D], Rep. Pam Marsh [D], Rep. Susan McLain [D], Sen. Mark Meek [D], Rep. Robert Nosse [D], Rep. Carla Piluso [D], Rep. Karin Power [D], Rep. Dan Rayfield [D], Rep. Jeff Reardon [D], Rep. Tawna Sanchez [D], Rep. Barbara Warner [D], Sen. Janeen Sollman [D], Rep. Bradley Witt [D], Sen. Leslee Beyer [D], Sen. Michael Dembrow [D], Sen. Lew Frederick [D], Sen. Sara Gelser Blouin [D], Sen. James Manning [D], Sen. Floyd Prozanski [D], Sen. Charles Riley [D], Sen. Elizabeth Steiner Hayward [D], Sen. Kathleen Taylor [D]</v>
      </c>
      <c r="H146" s="6">
        <f t="shared" si="23"/>
        <v>35</v>
      </c>
      <c r="I146" s="5">
        <v>20.0</v>
      </c>
      <c r="J146" s="5">
        <v>15.0</v>
      </c>
      <c r="K146" s="5">
        <v>0.0</v>
      </c>
      <c r="L146" s="6">
        <f t="shared" si="12"/>
        <v>0.5714285714</v>
      </c>
      <c r="M146" s="5">
        <v>29.0</v>
      </c>
      <c r="N146" s="5">
        <v>2.0</v>
      </c>
      <c r="O146" s="5">
        <v>3.0</v>
      </c>
      <c r="P146" s="5">
        <v>0.0</v>
      </c>
      <c r="Q146" s="5">
        <v>1.0</v>
      </c>
      <c r="R146" s="5">
        <v>0.0</v>
      </c>
      <c r="S146" s="5">
        <v>0.0</v>
      </c>
      <c r="T146" s="6">
        <f t="shared" si="13"/>
        <v>0.1714285714</v>
      </c>
      <c r="U146" s="7">
        <f t="shared" si="41"/>
        <v>35</v>
      </c>
      <c r="V146" s="7">
        <f t="shared" si="42"/>
        <v>0</v>
      </c>
      <c r="W146" s="7">
        <f t="shared" si="40"/>
        <v>0</v>
      </c>
      <c r="X146" s="6">
        <f t="shared" si="17"/>
        <v>1</v>
      </c>
    </row>
    <row r="147">
      <c r="A147" s="3" t="s">
        <v>189</v>
      </c>
      <c r="B147" s="3">
        <v>2017.0</v>
      </c>
      <c r="C147" s="3" t="s">
        <v>44</v>
      </c>
      <c r="D147" s="4" t="s">
        <v>328</v>
      </c>
      <c r="E147" s="3" t="s">
        <v>74</v>
      </c>
      <c r="F147" s="5" t="s">
        <v>329</v>
      </c>
      <c r="G147" s="6" t="str">
        <f>IFERROR(__xludf.DUMMYFUNCTION("""COMPUTED_VALUE"""),"Sen. Loretta Weinberg [D], Sen. Nia Gill [D], Rep. Pamela Lampitt [D], Rep. Grace Spencer [D], Rep. Valerie Huttle [D], Sen. John McKeon [D], Sen. Raj Mukherji [D], Rep. Jamel Holley [D], Rep. Marlene Caride [D], Rep. Joann Downey [D], Sen. Brian Stack [D"&amp;"], Sen. Raymond Lesniak [D], Sen. Nicholas Scutari [D], Sen. Jennifer Beck [R], Sen. Sandra Cunningham [D], Sen. Teresa Ruiz [D], Rep. Timothy Eustace [D], Rep. Herbert Conaway [D], Rep. Elizabeth Maher Muoio [D], Rep. Arthur Barclay [D], Rep. Joe Daniels"&amp;"en [D], Rep. Gabriela Mosquera [D]")</f>
        <v>Sen. Loretta Weinberg [D], Sen. Nia Gill [D], Rep. Pamela Lampitt [D], Rep. Grace Spencer [D], Rep. Valerie Huttle [D], Sen. John McKeon [D], Sen. Raj Mukherji [D], Rep. Jamel Holley [D], Rep. Marlene Caride [D], Rep. Joann Downey [D], Sen. Brian Stack [D], Sen. Raymond Lesniak [D], Sen. Nicholas Scutari [D], Sen. Jennifer Beck [R], Sen. Sandra Cunningham [D], Sen. Teresa Ruiz [D], Rep. Timothy Eustace [D], Rep. Herbert Conaway [D], Rep. Elizabeth Maher Muoio [D], Rep. Arthur Barclay [D], Rep. Joe Danielsen [D], Rep. Gabriela Mosquera [D]</v>
      </c>
      <c r="H147" s="6">
        <f t="shared" si="23"/>
        <v>22</v>
      </c>
      <c r="I147" s="5">
        <v>12.0</v>
      </c>
      <c r="J147" s="5">
        <v>10.0</v>
      </c>
      <c r="K147" s="5">
        <v>0.0</v>
      </c>
      <c r="L147" s="6">
        <f t="shared" si="12"/>
        <v>0.5454545455</v>
      </c>
      <c r="M147" s="5">
        <v>12.0</v>
      </c>
      <c r="N147" s="5">
        <v>6.0</v>
      </c>
      <c r="O147" s="5">
        <v>3.0</v>
      </c>
      <c r="P147" s="5">
        <v>1.0</v>
      </c>
      <c r="Q147" s="5">
        <v>0.0</v>
      </c>
      <c r="R147" s="5">
        <v>0.0</v>
      </c>
      <c r="S147" s="5">
        <v>0.0</v>
      </c>
      <c r="T147" s="6">
        <f t="shared" si="13"/>
        <v>0.4545454545</v>
      </c>
      <c r="U147" s="5">
        <f t="shared" si="41"/>
        <v>21</v>
      </c>
      <c r="V147" s="5">
        <f t="shared" si="42"/>
        <v>1</v>
      </c>
      <c r="W147" s="5">
        <f t="shared" si="40"/>
        <v>0</v>
      </c>
      <c r="X147" s="6">
        <f t="shared" si="17"/>
        <v>0.9545454545</v>
      </c>
    </row>
    <row r="148">
      <c r="A148" s="3" t="s">
        <v>62</v>
      </c>
      <c r="B148" s="3">
        <v>2012.0</v>
      </c>
      <c r="C148" s="3" t="s">
        <v>330</v>
      </c>
      <c r="D148" s="3" t="s">
        <v>331</v>
      </c>
      <c r="E148" s="3" t="s">
        <v>332</v>
      </c>
      <c r="F148" s="5" t="s">
        <v>333</v>
      </c>
      <c r="G148" s="6" t="str">
        <f>IFERROR(__xludf.DUMMYFUNCTION("""COMPUTED_VALUE"""),"Herman Farrell, William Barclay, Fred Thiele, Jeffrion Aubry, Philip Boyle, Kevin Cahill, Daniel Burling, William Colton, Nancy Calhoun, Vivian Cook, Clifford Crouch, Michael Cusick, Michael Fitzpatrick, David Gantt, Stephen Hawley, Deborah Glick, James H"&amp;"ayes, Earlene Hill Hooper, Tony Jordan, Sam Hoyt, Marcus Molinaro, Rhoda Jacobs, Lou Tobacco, Joseph Lentol, John McEneny, Joseph Morelle, Catherine Nolan, Felix Ortiz, N. Nick Perry, J. Gary Pretlow, William Scarborough, Robin Schimminger, Mike Spano, He"&amp;"lene Weinstein, Keith Wright")</f>
        <v>Herman Farrell, William Barclay, Fred Thiele, Jeffrion Aubry, Philip Boyle, Kevin Cahill, Daniel Burling, William Colton, Nancy Calhoun, Vivian Cook, Clifford Crouch, Michael Cusick, Michael Fitzpatrick, David Gantt, Stephen Hawley, Deborah Glick, James Hayes, Earlene Hill Hooper, Tony Jordan, Sam Hoyt, Marcus Molinaro, Rhoda Jacobs, Lou Tobacco, Joseph Lentol, John McEneny, Joseph Morelle, Catherine Nolan, Felix Ortiz, N. Nick Perry, J. Gary Pretlow, William Scarborough, Robin Schimminger, Mike Spano, Helene Weinstein, Keith Wright</v>
      </c>
      <c r="H148" s="6">
        <f t="shared" si="23"/>
        <v>35</v>
      </c>
      <c r="I148" s="5">
        <v>7.0</v>
      </c>
      <c r="J148" s="5">
        <v>28.0</v>
      </c>
      <c r="K148" s="5">
        <v>0.0</v>
      </c>
      <c r="L148" s="6">
        <f t="shared" si="12"/>
        <v>0.2</v>
      </c>
      <c r="M148" s="5">
        <v>24.0</v>
      </c>
      <c r="N148" s="5">
        <v>11.0</v>
      </c>
      <c r="O148" s="5">
        <v>1.0</v>
      </c>
      <c r="P148" s="5">
        <v>0.0</v>
      </c>
      <c r="Q148" s="5">
        <v>0.0</v>
      </c>
      <c r="R148" s="5">
        <v>0.0</v>
      </c>
      <c r="S148" s="5">
        <v>0.0</v>
      </c>
      <c r="T148" s="6">
        <f t="shared" si="13"/>
        <v>0.3428571429</v>
      </c>
      <c r="U148" s="5">
        <v>23.0</v>
      </c>
      <c r="V148" s="5">
        <v>11.0</v>
      </c>
      <c r="W148" s="5">
        <v>1.0</v>
      </c>
      <c r="X148" s="6">
        <f t="shared" si="17"/>
        <v>0.6571428571</v>
      </c>
    </row>
    <row r="149">
      <c r="A149" s="3" t="s">
        <v>62</v>
      </c>
      <c r="B149" s="3">
        <v>2019.0</v>
      </c>
      <c r="C149" s="3" t="s">
        <v>44</v>
      </c>
      <c r="D149" s="4" t="s">
        <v>334</v>
      </c>
      <c r="E149" s="3" t="s">
        <v>46</v>
      </c>
      <c r="F149" s="5" t="s">
        <v>335</v>
      </c>
      <c r="G149" s="6" t="str">
        <f>IFERROR(__xludf.DUMMYFUNCTION("""COMPUTED_VALUE"""),"Helene Weinstein, Will Barclay, Jeffrion Aubry, Michael Benedetto, Ken Blankenbush, Ed Braunstein, Kevin Cahill, William Colton, Vivian Cook, Cliff Crouch, Mike Cusick, Jeffrey Dinowitz, Mike Fitzpatrick, David Gantt, Deborah Glick, Steve Hawley, Joe Lent"&amp;"ol, Nicole Malliotakis, John McDonald, Mike Miller, Michael Montesano, Catherine Nolan, Mike Norris, Félix Ortiz, Phil Palmesano, Nick Perry, Gary Pretlow, Ed Ra, Phil Ramos, Robert Rodriguez, Nily Rozic, Robin Schimminger, Aravella Simotas, Fred Thiele, "&amp;"David Weprin")</f>
        <v>Helene Weinstein, Will Barclay, Jeffrion Aubry, Michael Benedetto, Ken Blankenbush, Ed Braunstein, Kevin Cahill, William Colton, Vivian Cook, Cliff Crouch, Mike Cusick, Jeffrey Dinowitz, Mike Fitzpatrick, David Gantt, Deborah Glick, Steve Hawley, Joe Lentol, Nicole Malliotakis, John McDonald, Mike Miller, Michael Montesano, Catherine Nolan, Mike Norris, Félix Ortiz, Phil Palmesano, Nick Perry, Gary Pretlow, Ed Ra, Phil Ramos, Robert Rodriguez, Nily Rozic, Robin Schimminger, Aravella Simotas, Fred Thiele, David Weprin</v>
      </c>
      <c r="H149" s="6">
        <f t="shared" si="23"/>
        <v>35</v>
      </c>
      <c r="I149" s="5">
        <v>7.0</v>
      </c>
      <c r="J149" s="5">
        <v>28.0</v>
      </c>
      <c r="K149" s="5">
        <v>0.0</v>
      </c>
      <c r="L149" s="6">
        <f t="shared" si="12"/>
        <v>0.2</v>
      </c>
      <c r="M149" s="5">
        <v>27.0</v>
      </c>
      <c r="N149" s="5">
        <v>6.0</v>
      </c>
      <c r="O149" s="5">
        <v>3.0</v>
      </c>
      <c r="P149" s="5">
        <v>0.0</v>
      </c>
      <c r="Q149" s="5">
        <v>0.0</v>
      </c>
      <c r="R149" s="5">
        <v>0.0</v>
      </c>
      <c r="S149" s="5">
        <v>0.0</v>
      </c>
      <c r="T149" s="6">
        <f t="shared" si="13"/>
        <v>0.2571428571</v>
      </c>
      <c r="U149" s="5">
        <v>25.0</v>
      </c>
      <c r="V149" s="5">
        <v>10.0</v>
      </c>
      <c r="W149" s="5">
        <v>0.0</v>
      </c>
      <c r="X149" s="6">
        <f t="shared" si="17"/>
        <v>0.7142857143</v>
      </c>
    </row>
    <row r="150">
      <c r="A150" s="3" t="s">
        <v>65</v>
      </c>
      <c r="B150" s="3">
        <v>2017.0</v>
      </c>
      <c r="C150" s="3" t="s">
        <v>44</v>
      </c>
      <c r="D150" s="4" t="s">
        <v>336</v>
      </c>
      <c r="E150" s="3" t="s">
        <v>74</v>
      </c>
      <c r="F150" s="5" t="s">
        <v>337</v>
      </c>
      <c r="G150" s="6" t="str">
        <f>IFERROR(__xludf.DUMMYFUNCTION("""COMPUTED_VALUE"""),"Sen. Maryellen Goodwin [D]")</f>
        <v>Sen. Maryellen Goodwin [D]</v>
      </c>
      <c r="H150" s="6">
        <f t="shared" si="23"/>
        <v>1</v>
      </c>
      <c r="I150" s="5">
        <v>1.0</v>
      </c>
      <c r="J150" s="5">
        <v>0.0</v>
      </c>
      <c r="K150" s="5">
        <v>0.0</v>
      </c>
      <c r="L150" s="6">
        <f t="shared" si="12"/>
        <v>1</v>
      </c>
      <c r="M150" s="5">
        <v>1.0</v>
      </c>
      <c r="N150" s="5">
        <v>0.0</v>
      </c>
      <c r="O150" s="5">
        <v>0.0</v>
      </c>
      <c r="P150" s="5">
        <v>0.0</v>
      </c>
      <c r="Q150" s="5">
        <v>0.0</v>
      </c>
      <c r="R150" s="5">
        <v>0.0</v>
      </c>
      <c r="S150" s="5">
        <v>0.0</v>
      </c>
      <c r="T150" s="6">
        <f t="shared" si="13"/>
        <v>0</v>
      </c>
      <c r="U150" s="7">
        <f>IF(G150 = "", "", (LEN(G150) - LEN(SUBSTITUTE(G150, "[D]", ""))) / 3)</f>
        <v>1</v>
      </c>
      <c r="V150" s="7">
        <f>IF(G150 = "", "", (LEN(G150) - LEN(SUBSTITUTE(G150, "[R]", ""))) / 3)</f>
        <v>0</v>
      </c>
      <c r="W150" s="7">
        <f>IF(G150 = "", "", (LEN(G150) - LEN(SUBSTITUTE(G150, "[I]", ""))) / 3)</f>
        <v>0</v>
      </c>
      <c r="X150" s="6">
        <f t="shared" si="17"/>
        <v>1</v>
      </c>
    </row>
    <row r="151">
      <c r="A151" s="3" t="s">
        <v>338</v>
      </c>
      <c r="B151" s="3">
        <v>2022.0</v>
      </c>
      <c r="C151" s="3" t="s">
        <v>187</v>
      </c>
      <c r="D151" s="4" t="s">
        <v>221</v>
      </c>
      <c r="E151" s="4" t="s">
        <v>339</v>
      </c>
      <c r="F151" s="5" t="s">
        <v>340</v>
      </c>
      <c r="G151" s="6" t="str">
        <f>IFERROR(__xludf.DUMMYFUNCTION("""COMPUTED_VALUE"""),"Helene Weinstein Chair, J. Gary Pretlow, William Magnarelli, John T. McDonald III, Catherine Nolan, N. Nick Perry, Alicia Hyndman, Rebecca Seawright, David Weprin, Kenneth Zebrowski, Philip Ramos, Robert Rodriguez, Latoya Joyner, Jeffrion Aubry, Michael B"&amp;"enedetto, Edward Braunstein, Harry Bronson, Kevin Cahill, Deborah Glick, William Colton, Vivian Cook, Michael Cusick, Erik Dilan, Jeffrey Dinowitz, Nily Rozic, Michael J. Norris, Philip Palmesano, Edward Ra, Stephen Hawley, Jacob Ashby, Kevin M. Byrne, Ke"&amp;"nneth Blankenbush, Karl Brabenec, Michael Fitzpatrick")</f>
        <v>Helene Weinstein Chair, J. Gary Pretlow, William Magnarelli, John T. McDonald III, Catherine Nolan, N. Nick Perry, Alicia Hyndman, Rebecca Seawright, David Weprin, Kenneth Zebrowski, Philip Ramos, Robert Rodriguez, Latoya Joyner, Jeffrion Aubry, Michael Benedetto, Edward Braunstein, Harry Bronson, Kevin Cahill, Deborah Glick, William Colton, Vivian Cook, Michael Cusick, Erik Dilan, Jeffrey Dinowitz, Nily Rozic, Michael J. Norris, Philip Palmesano, Edward Ra, Stephen Hawley, Jacob Ashby, Kevin M. Byrne, Kenneth Blankenbush, Karl Brabenec, Michael Fitzpatrick</v>
      </c>
      <c r="H151" s="6">
        <f t="shared" si="23"/>
        <v>34</v>
      </c>
      <c r="I151" s="5">
        <v>8.0</v>
      </c>
      <c r="J151" s="5">
        <v>26.0</v>
      </c>
      <c r="K151" s="5">
        <v>0.0</v>
      </c>
      <c r="L151" s="6">
        <f t="shared" si="12"/>
        <v>0.2352941176</v>
      </c>
      <c r="M151" s="5">
        <v>25.0</v>
      </c>
      <c r="N151" s="5">
        <v>7.0</v>
      </c>
      <c r="O151" s="5">
        <v>2.0</v>
      </c>
      <c r="P151" s="5">
        <v>0.0</v>
      </c>
      <c r="Q151" s="5">
        <v>0.0</v>
      </c>
      <c r="R151" s="5">
        <v>0.0</v>
      </c>
      <c r="S151" s="5">
        <v>0.0</v>
      </c>
      <c r="T151" s="6">
        <f t="shared" si="13"/>
        <v>0.2647058824</v>
      </c>
      <c r="U151" s="5">
        <v>25.0</v>
      </c>
      <c r="V151" s="5">
        <v>9.0</v>
      </c>
      <c r="W151" s="5">
        <v>0.0</v>
      </c>
      <c r="X151" s="6">
        <f t="shared" si="17"/>
        <v>0.7352941176</v>
      </c>
    </row>
    <row r="152">
      <c r="A152" s="8" t="s">
        <v>203</v>
      </c>
      <c r="B152" s="8">
        <v>2017.0</v>
      </c>
      <c r="C152" s="8" t="s">
        <v>39</v>
      </c>
      <c r="D152" s="14" t="s">
        <v>341</v>
      </c>
      <c r="E152" s="8" t="s">
        <v>41</v>
      </c>
      <c r="F152" s="5" t="s">
        <v>342</v>
      </c>
      <c r="G152" s="5" t="str">
        <f>IFERROR(__xludf.DUMMYFUNCTION("""COMPUTED_VALUE"""),"Sen. Rosalyn Baker [D], Sen. Lorraine Inouye [D], Sen. Michelle Kidani [D], Sen. Maile Shimabukuro [D], Sen. Jill Tokuda [D], Sen. Donna Kim [D]")</f>
        <v>Sen. Rosalyn Baker [D], Sen. Lorraine Inouye [D], Sen. Michelle Kidani [D], Sen. Maile Shimabukuro [D], Sen. Jill Tokuda [D], Sen. Donna Kim [D]</v>
      </c>
      <c r="H152" s="6">
        <f t="shared" si="23"/>
        <v>6</v>
      </c>
      <c r="I152" s="5">
        <v>6.0</v>
      </c>
      <c r="J152" s="5">
        <v>0.0</v>
      </c>
      <c r="K152" s="5">
        <v>0.0</v>
      </c>
      <c r="L152" s="6">
        <f t="shared" si="12"/>
        <v>1</v>
      </c>
      <c r="M152" s="5">
        <v>1.0</v>
      </c>
      <c r="N152" s="5">
        <v>0.0</v>
      </c>
      <c r="O152" s="5">
        <v>0.0</v>
      </c>
      <c r="P152" s="5">
        <v>4.0</v>
      </c>
      <c r="Q152" s="5">
        <v>0.0</v>
      </c>
      <c r="R152" s="5">
        <v>1.0</v>
      </c>
      <c r="S152" s="5">
        <v>0.0</v>
      </c>
      <c r="T152" s="6">
        <f t="shared" si="13"/>
        <v>0.8333333333</v>
      </c>
      <c r="U152" s="5">
        <f t="shared" ref="U152:U167" si="43">IF(G152 = "", "", (LEN(G152) - LEN(SUBSTITUTE(G152, "[D]", ""))) / 3)</f>
        <v>6</v>
      </c>
      <c r="V152" s="5">
        <f t="shared" ref="V152:V167" si="44">IF(G152 = "", "", (LEN(G152) - LEN(SUBSTITUTE(G152, "[R]", ""))) / 3)</f>
        <v>0</v>
      </c>
      <c r="W152" s="5">
        <f t="shared" ref="W152:W167" si="45">IF(G152 = "", "", (LEN(G152) - LEN(SUBSTITUTE(G152, "[I]", ""))) / 3)</f>
        <v>0</v>
      </c>
      <c r="X152" s="6">
        <f t="shared" si="17"/>
        <v>1</v>
      </c>
    </row>
    <row r="153">
      <c r="A153" s="8" t="s">
        <v>135</v>
      </c>
      <c r="B153" s="8">
        <v>2017.0</v>
      </c>
      <c r="C153" s="8" t="s">
        <v>39</v>
      </c>
      <c r="D153" s="9" t="s">
        <v>343</v>
      </c>
      <c r="E153" s="8" t="s">
        <v>344</v>
      </c>
      <c r="F153" s="5" t="s">
        <v>345</v>
      </c>
      <c r="G153" s="5" t="str">
        <f>IFERROR(__xludf.DUMMYFUNCTION("""COMPUTED_VALUE"""),"Rep. Knute Buehler [R], Sen. Elizabeth Steiner Hayward [D], Rep. Jodi Hack [R], Rep. Alissa Keny-Guyer [D], Sen. Janeen Sollman [D], Sen. Laurie Monnes Anderson [D]")</f>
        <v>Rep. Knute Buehler [R], Sen. Elizabeth Steiner Hayward [D], Rep. Jodi Hack [R], Rep. Alissa Keny-Guyer [D], Sen. Janeen Sollman [D], Sen. Laurie Monnes Anderson [D]</v>
      </c>
      <c r="H153" s="6">
        <f t="shared" si="23"/>
        <v>6</v>
      </c>
      <c r="I153" s="5">
        <v>5.0</v>
      </c>
      <c r="J153" s="5">
        <v>1.0</v>
      </c>
      <c r="K153" s="5">
        <v>0.0</v>
      </c>
      <c r="L153" s="6">
        <f t="shared" si="12"/>
        <v>0.8333333333</v>
      </c>
      <c r="M153" s="5">
        <v>6.0</v>
      </c>
      <c r="N153" s="5">
        <v>0.0</v>
      </c>
      <c r="O153" s="5">
        <v>0.0</v>
      </c>
      <c r="P153" s="5">
        <v>0.0</v>
      </c>
      <c r="Q153" s="5">
        <v>0.0</v>
      </c>
      <c r="R153" s="5">
        <v>0.0</v>
      </c>
      <c r="S153" s="5">
        <v>0.0</v>
      </c>
      <c r="T153" s="6">
        <f t="shared" si="13"/>
        <v>0</v>
      </c>
      <c r="U153" s="7">
        <f t="shared" si="43"/>
        <v>4</v>
      </c>
      <c r="V153" s="7">
        <f t="shared" si="44"/>
        <v>2</v>
      </c>
      <c r="W153" s="7">
        <f t="shared" si="45"/>
        <v>0</v>
      </c>
      <c r="X153" s="6">
        <f t="shared" si="17"/>
        <v>0.6666666667</v>
      </c>
    </row>
    <row r="154">
      <c r="A154" s="8" t="s">
        <v>135</v>
      </c>
      <c r="B154" s="8">
        <v>2017.0</v>
      </c>
      <c r="C154" s="8" t="s">
        <v>39</v>
      </c>
      <c r="D154" s="9" t="s">
        <v>326</v>
      </c>
      <c r="E154" s="8" t="s">
        <v>344</v>
      </c>
      <c r="F154" s="5" t="s">
        <v>327</v>
      </c>
      <c r="G154" s="5" t="str">
        <f>IFERROR(__xludf.DUMMYFUNCTION("""COMPUTED_VALUE"""),"Rep. Jeff Barker [D], Rep. Jennifer Williamson [D], Rep. Julianne Fahey [D], Sen. Richard Devlin [D], Sen. Laurie Monnes Anderson [D], Rep. Teresa Alonso Leon [D], Rep. Deborah Boone [D], Rep. David Gomberg [D], Rep. Ken Helm [D], Rep. Diego Hernandez [D]"&amp;", Rep. Paul Holvey [D], Rep. Alissa Keny-Guyer [D], Rep. Ann Lininger [D], Rep. Sheri Malstrom Schouten [D], Rep. Pam Marsh [D], Rep. Susan McLain [D], Sen. Mark Meek [D], Rep. Robert Nosse [D], Rep. Carla Piluso [D], Rep. Karin Power [D], Rep. Dan Rayfie"&amp;"ld [D], Rep. Jeff Reardon [D], Rep. Tawna Sanchez [D], Rep. Barbara Warner [D], Sen. Janeen Sollman [D], Rep. Bradley Witt [D], Sen. Leslee Beyer [D], Sen. Michael Dembrow [D], Sen. Lew Frederick [D], Sen. Sara Gelser Blouin [D], Sen. James Manning [D], S"&amp;"en. Floyd Prozanski [D], Sen. Charles Riley [D], Sen. Elizabeth Steiner Hayward [D], Sen. Kathleen Taylor [D]")</f>
        <v>Rep. Jeff Barker [D], Rep. Jennifer Williamson [D], Rep. Julianne Fahey [D], Sen. Richard Devlin [D], Sen. Laurie Monnes Anderson [D], Rep. Teresa Alonso Leon [D], Rep. Deborah Boone [D], Rep. David Gomberg [D], Rep. Ken Helm [D], Rep. Diego Hernandez [D], Rep. Paul Holvey [D], Rep. Alissa Keny-Guyer [D], Rep. Ann Lininger [D], Rep. Sheri Malstrom Schouten [D], Rep. Pam Marsh [D], Rep. Susan McLain [D], Sen. Mark Meek [D], Rep. Robert Nosse [D], Rep. Carla Piluso [D], Rep. Karin Power [D], Rep. Dan Rayfield [D], Rep. Jeff Reardon [D], Rep. Tawna Sanchez [D], Rep. Barbara Warner [D], Sen. Janeen Sollman [D], Rep. Bradley Witt [D], Sen. Leslee Beyer [D], Sen. Michael Dembrow [D], Sen. Lew Frederick [D], Sen. Sara Gelser Blouin [D], Sen. James Manning [D], Sen. Floyd Prozanski [D], Sen. Charles Riley [D], Sen. Elizabeth Steiner Hayward [D], Sen. Kathleen Taylor [D]</v>
      </c>
      <c r="H154" s="6">
        <f t="shared" si="23"/>
        <v>35</v>
      </c>
      <c r="I154" s="5">
        <v>20.0</v>
      </c>
      <c r="J154" s="5">
        <v>15.0</v>
      </c>
      <c r="K154" s="5">
        <v>0.0</v>
      </c>
      <c r="L154" s="6">
        <f t="shared" si="12"/>
        <v>0.5714285714</v>
      </c>
      <c r="M154" s="5">
        <v>29.0</v>
      </c>
      <c r="N154" s="5">
        <v>2.0</v>
      </c>
      <c r="O154" s="5">
        <v>3.0</v>
      </c>
      <c r="P154" s="5">
        <v>0.0</v>
      </c>
      <c r="Q154" s="5">
        <v>1.0</v>
      </c>
      <c r="R154" s="5">
        <v>0.0</v>
      </c>
      <c r="S154" s="5">
        <v>0.0</v>
      </c>
      <c r="T154" s="6">
        <f t="shared" si="13"/>
        <v>0.1714285714</v>
      </c>
      <c r="U154" s="7">
        <f t="shared" si="43"/>
        <v>35</v>
      </c>
      <c r="V154" s="7">
        <f t="shared" si="44"/>
        <v>0</v>
      </c>
      <c r="W154" s="7">
        <f t="shared" si="45"/>
        <v>0</v>
      </c>
      <c r="X154" s="6">
        <f t="shared" si="17"/>
        <v>1</v>
      </c>
    </row>
    <row r="155">
      <c r="A155" s="3" t="s">
        <v>143</v>
      </c>
      <c r="B155" s="3">
        <v>2017.0</v>
      </c>
      <c r="C155" s="3" t="s">
        <v>87</v>
      </c>
      <c r="D155" s="4" t="s">
        <v>298</v>
      </c>
      <c r="E155" s="3" t="s">
        <v>89</v>
      </c>
      <c r="F155" s="5" t="s">
        <v>346</v>
      </c>
      <c r="G155" s="5" t="str">
        <f>IFERROR(__xludf.DUMMYFUNCTION("""COMPUTED_VALUE"""),"Sen. Steven Hobbs [D], Sen. Rebecca Saldana [D], Sen. Manka Dhingra [D], Sen. Kevin Ranker [D], Sen. Reuven Carlyle [D], Sen. Dean Takko [D], Sen. Patty Kuderer [D], Sen. Robert Hasegawa [D], Sen. Guy Palumbo [D], Sen. Maralyn Chase [D], Sen. Sharon Nelso"&amp;"n [D], Sen. David Frockt [D], Sen. Karen Keiser [D], Sen. Lisa Wellman [D], Sen. Jeannie Darneille [D], Sen. Mark Mullet [D], Sen. Andrew Billig [D], Sen. Jamie Pedersen [D], Sen. Christine Rolfes [D], Sen. Samuel Hunt [D], Sen. Marko Liias [D]")</f>
        <v>Sen. Steven Hobbs [D], Sen. Rebecca Saldana [D], Sen. Manka Dhingra [D], Sen. Kevin Ranker [D], Sen. Reuven Carlyle [D], Sen. Dean Takko [D], Sen. Patty Kuderer [D], Sen. Robert Hasegawa [D], Sen. Guy Palumbo [D], Sen. Maralyn Chase [D], Sen. Sharon Nelson [D], Sen. David Frockt [D], Sen. Karen Keiser [D], Sen. Lisa Wellman [D], Sen. Jeannie Darneille [D], Sen. Mark Mullet [D], Sen. Andrew Billig [D], Sen. Jamie Pedersen [D], Sen. Christine Rolfes [D], Sen. Samuel Hunt [D], Sen. Marko Liias [D]</v>
      </c>
      <c r="H155" s="6">
        <f t="shared" si="23"/>
        <v>21</v>
      </c>
      <c r="I155" s="5">
        <v>9.0</v>
      </c>
      <c r="J155" s="5">
        <v>12.0</v>
      </c>
      <c r="K155" s="5">
        <v>0.0</v>
      </c>
      <c r="L155" s="6">
        <f t="shared" si="12"/>
        <v>0.4285714286</v>
      </c>
      <c r="M155" s="5">
        <v>17.0</v>
      </c>
      <c r="N155" s="5">
        <v>0.0</v>
      </c>
      <c r="O155" s="5">
        <v>1.0</v>
      </c>
      <c r="P155" s="5">
        <v>3.0</v>
      </c>
      <c r="Q155" s="5">
        <v>0.0</v>
      </c>
      <c r="R155" s="5">
        <v>0.0</v>
      </c>
      <c r="S155" s="5">
        <v>0.0</v>
      </c>
      <c r="T155" s="6">
        <f t="shared" si="13"/>
        <v>0.1904761905</v>
      </c>
      <c r="U155" s="7">
        <f t="shared" si="43"/>
        <v>21</v>
      </c>
      <c r="V155" s="7">
        <f t="shared" si="44"/>
        <v>0</v>
      </c>
      <c r="W155" s="7">
        <f t="shared" si="45"/>
        <v>0</v>
      </c>
      <c r="X155" s="6">
        <f t="shared" si="17"/>
        <v>1</v>
      </c>
    </row>
    <row r="156">
      <c r="A156" s="3" t="s">
        <v>135</v>
      </c>
      <c r="B156" s="3">
        <v>2017.0</v>
      </c>
      <c r="C156" s="3" t="s">
        <v>129</v>
      </c>
      <c r="D156" s="7" t="s">
        <v>326</v>
      </c>
      <c r="E156" s="3" t="s">
        <v>130</v>
      </c>
      <c r="F156" s="5" t="s">
        <v>327</v>
      </c>
      <c r="G156" s="5" t="str">
        <f>IFERROR(__xludf.DUMMYFUNCTION("""COMPUTED_VALUE"""),"Rep. Jeff Barker [D], Rep. Jennifer Williamson [D], Rep. Julianne Fahey [D], Sen. Richard Devlin [D], Sen. Laurie Monnes Anderson [D], Rep. Teresa Alonso Leon [D], Rep. Deborah Boone [D], Rep. David Gomberg [D], Rep. Ken Helm [D], Rep. Diego Hernandez [D]"&amp;", Rep. Paul Holvey [D], Rep. Alissa Keny-Guyer [D], Rep. Ann Lininger [D], Rep. Sheri Malstrom Schouten [D], Rep. Pam Marsh [D], Rep. Susan McLain [D], Sen. Mark Meek [D], Rep. Robert Nosse [D], Rep. Carla Piluso [D], Rep. Karin Power [D], Rep. Dan Rayfie"&amp;"ld [D], Rep. Jeff Reardon [D], Rep. Tawna Sanchez [D], Rep. Barbara Warner [D], Sen. Janeen Sollman [D], Rep. Bradley Witt [D], Sen. Leslee Beyer [D], Sen. Michael Dembrow [D], Sen. Lew Frederick [D], Sen. Sara Gelser Blouin [D], Sen. James Manning [D], S"&amp;"en. Floyd Prozanski [D], Sen. Charles Riley [D], Sen. Elizabeth Steiner Hayward [D], Sen. Kathleen Taylor [D]")</f>
        <v>Rep. Jeff Barker [D], Rep. Jennifer Williamson [D], Rep. Julianne Fahey [D], Sen. Richard Devlin [D], Sen. Laurie Monnes Anderson [D], Rep. Teresa Alonso Leon [D], Rep. Deborah Boone [D], Rep. David Gomberg [D], Rep. Ken Helm [D], Rep. Diego Hernandez [D], Rep. Paul Holvey [D], Rep. Alissa Keny-Guyer [D], Rep. Ann Lininger [D], Rep. Sheri Malstrom Schouten [D], Rep. Pam Marsh [D], Rep. Susan McLain [D], Sen. Mark Meek [D], Rep. Robert Nosse [D], Rep. Carla Piluso [D], Rep. Karin Power [D], Rep. Dan Rayfield [D], Rep. Jeff Reardon [D], Rep. Tawna Sanchez [D], Rep. Barbara Warner [D], Sen. Janeen Sollman [D], Rep. Bradley Witt [D], Sen. Leslee Beyer [D], Sen. Michael Dembrow [D], Sen. Lew Frederick [D], Sen. Sara Gelser Blouin [D], Sen. James Manning [D], Sen. Floyd Prozanski [D], Sen. Charles Riley [D], Sen. Elizabeth Steiner Hayward [D], Sen. Kathleen Taylor [D]</v>
      </c>
      <c r="H156" s="6">
        <f t="shared" si="23"/>
        <v>35</v>
      </c>
      <c r="I156" s="5">
        <v>20.0</v>
      </c>
      <c r="J156" s="5">
        <v>15.0</v>
      </c>
      <c r="K156" s="5">
        <v>0.0</v>
      </c>
      <c r="L156" s="6">
        <f t="shared" si="12"/>
        <v>0.5714285714</v>
      </c>
      <c r="M156" s="5">
        <v>29.0</v>
      </c>
      <c r="N156" s="5">
        <v>2.0</v>
      </c>
      <c r="O156" s="5">
        <v>3.0</v>
      </c>
      <c r="P156" s="5">
        <v>0.0</v>
      </c>
      <c r="Q156" s="5">
        <v>1.0</v>
      </c>
      <c r="R156" s="5">
        <v>0.0</v>
      </c>
      <c r="S156" s="5">
        <v>0.0</v>
      </c>
      <c r="T156" s="6">
        <f t="shared" si="13"/>
        <v>0.1714285714</v>
      </c>
      <c r="U156" s="7">
        <f t="shared" si="43"/>
        <v>35</v>
      </c>
      <c r="V156" s="7">
        <f t="shared" si="44"/>
        <v>0</v>
      </c>
      <c r="W156" s="7">
        <f t="shared" si="45"/>
        <v>0</v>
      </c>
      <c r="X156" s="6">
        <f t="shared" si="17"/>
        <v>1</v>
      </c>
    </row>
    <row r="157">
      <c r="A157" s="3" t="s">
        <v>29</v>
      </c>
      <c r="B157" s="3">
        <v>2017.0</v>
      </c>
      <c r="C157" s="3" t="s">
        <v>90</v>
      </c>
      <c r="D157" s="7" t="s">
        <v>308</v>
      </c>
      <c r="E157" s="3" t="s">
        <v>127</v>
      </c>
      <c r="F157" s="5" t="s">
        <v>309</v>
      </c>
      <c r="G157" s="5" t="str">
        <f>IFERROR(__xludf.DUMMYFUNCTION("""COMPUTED_VALUE"""),"Sen. Margaret Henry [D], Sen. Bryan Townsend [D], Rep. Debra Heffernan [D], Sen. Catherine Cloutier [R], Sen. Stephanie Hansen [D], Sen. Nicole Poore [D], Sen. David Sokola [D], Rep. Paul Baumbach [D], Rep. David Bentz [D], Rep. Stephanie Bolden [D], Rep."&amp;" James Johnson [D], Rep. Helene Keeley [D], Rep. John Kowalko [D], Rep. Sean Lynn [D], Sen. Charles Paradee [D], Rep. John Viola [D]")</f>
        <v>Sen. Margaret Henry [D], Sen. Bryan Townsend [D], Rep. Debra Heffernan [D], Sen. Catherine Cloutier [R], Sen. Stephanie Hansen [D], Sen. Nicole Poore [D], Sen. David Sokola [D], Rep. Paul Baumbach [D], Rep. David Bentz [D], Rep. Stephanie Bolden [D], Rep. James Johnson [D], Rep. Helene Keeley [D], Rep. John Kowalko [D], Rep. Sean Lynn [D], Sen. Charles Paradee [D], Rep. John Viola [D]</v>
      </c>
      <c r="H157" s="6">
        <f t="shared" si="23"/>
        <v>16</v>
      </c>
      <c r="I157" s="5">
        <v>7.0</v>
      </c>
      <c r="J157" s="5">
        <v>9.0</v>
      </c>
      <c r="K157" s="5">
        <v>0.0</v>
      </c>
      <c r="L157" s="6">
        <f t="shared" si="12"/>
        <v>0.4375</v>
      </c>
      <c r="M157" s="5">
        <v>13.0</v>
      </c>
      <c r="N157" s="5">
        <v>3.0</v>
      </c>
      <c r="O157" s="5">
        <v>0.0</v>
      </c>
      <c r="P157" s="5">
        <v>0.0</v>
      </c>
      <c r="Q157" s="5">
        <v>0.0</v>
      </c>
      <c r="R157" s="5">
        <v>0.0</v>
      </c>
      <c r="S157" s="5">
        <v>0.0</v>
      </c>
      <c r="T157" s="6">
        <f t="shared" si="13"/>
        <v>0.1875</v>
      </c>
      <c r="U157" s="5">
        <f t="shared" si="43"/>
        <v>15</v>
      </c>
      <c r="V157" s="5">
        <f t="shared" si="44"/>
        <v>1</v>
      </c>
      <c r="W157" s="5">
        <f t="shared" si="45"/>
        <v>0</v>
      </c>
      <c r="X157" s="6">
        <f t="shared" si="17"/>
        <v>0.9375</v>
      </c>
    </row>
    <row r="158">
      <c r="A158" s="3" t="s">
        <v>72</v>
      </c>
      <c r="B158" s="3">
        <v>2017.0</v>
      </c>
      <c r="C158" s="3" t="s">
        <v>90</v>
      </c>
      <c r="D158" s="7" t="s">
        <v>304</v>
      </c>
      <c r="E158" s="3" t="s">
        <v>176</v>
      </c>
      <c r="F158" s="5" t="s">
        <v>347</v>
      </c>
      <c r="G158" s="5" t="str">
        <f>IFERROR(__xludf.DUMMYFUNCTION("""COMPUTED_VALUE"""),"Rep. Robyn Gabel [D], Rep. Steven Andersson [R], Sen. Laura Fine [D], Rep. Jay Hoffman [D], Rep. Michael Zalewski [D], Rep. Kelly Cassidy [D], Rep. Jaime Andrade [D], Rep. Will Guzzardi [D], Rep. Anna Moeller [D], Rep. Lawrence Walsh [D], Sen. Terri Bryan"&amp;"t [R], Rep. Justin Slaughter [D], Sen. Michael Halpin [D], Rep. Katie Stuart [D], Rep. Camille Lilly [D], Rep. Latoya Greenwood [D], Rep. Silvana Tabares [D], Rep. Deborah Conroy [D], Rep. Marcus Evans [D], Sen. Laura Murphy [D], Sen. Cristina Castro [D],"&amp;" Sen. Heather Steans [D], Sen. Linda Holmes [D], Sen. James Clayborne [D], Sen. David Koehler [D], Sen. Terry Link [D], Sen. Julie Morrison [D], Sen. Antonio Munoz [D], Sen. Omar Aquino [D], Sen. John Mulroe [D]")</f>
        <v>Rep. Robyn Gabel [D], Rep. Steven Andersson [R], Sen. Laura Fine [D], Rep. Jay Hoffman [D], Rep. Michael Zalewski [D], Rep. Kelly Cassidy [D], Rep. Jaime Andrade [D], Rep. Will Guzzardi [D], Rep. Anna Moeller [D], Rep. Lawrence Walsh [D], Sen. Terri Bryant [R], Rep. Justin Slaughter [D], Sen. Michael Halpin [D], Rep. Katie Stuart [D], Rep. Camille Lilly [D], Rep. Latoya Greenwood [D], Rep. Silvana Tabares [D], Rep. Deborah Conroy [D], Rep. Marcus Evans [D], Sen. Laura Murphy [D], Sen. Cristina Castro [D], Sen. Heather Steans [D], Sen. Linda Holmes [D], Sen. James Clayborne [D], Sen. David Koehler [D], Sen. Terry Link [D], Sen. Julie Morrison [D], Sen. Antonio Munoz [D], Sen. Omar Aquino [D], Sen. John Mulroe [D]</v>
      </c>
      <c r="H158" s="6">
        <f t="shared" si="23"/>
        <v>30</v>
      </c>
      <c r="I158" s="5">
        <v>15.0</v>
      </c>
      <c r="J158" s="5">
        <v>15.0</v>
      </c>
      <c r="K158" s="5">
        <v>0.0</v>
      </c>
      <c r="L158" s="6">
        <f t="shared" si="12"/>
        <v>0.5</v>
      </c>
      <c r="M158" s="5">
        <v>20.0</v>
      </c>
      <c r="N158" s="5">
        <v>5.0</v>
      </c>
      <c r="O158" s="5">
        <v>5.0</v>
      </c>
      <c r="P158" s="5">
        <v>0.0</v>
      </c>
      <c r="Q158" s="5">
        <v>0.0</v>
      </c>
      <c r="R158" s="5">
        <v>0.0</v>
      </c>
      <c r="S158" s="5">
        <v>0.0</v>
      </c>
      <c r="T158" s="6">
        <f t="shared" si="13"/>
        <v>0.3333333333</v>
      </c>
      <c r="U158" s="5">
        <f t="shared" si="43"/>
        <v>28</v>
      </c>
      <c r="V158" s="5">
        <f t="shared" si="44"/>
        <v>2</v>
      </c>
      <c r="W158" s="5">
        <f t="shared" si="45"/>
        <v>0</v>
      </c>
      <c r="X158" s="6">
        <f t="shared" si="17"/>
        <v>0.9333333333</v>
      </c>
    </row>
    <row r="159">
      <c r="A159" s="3" t="s">
        <v>51</v>
      </c>
      <c r="B159" s="3">
        <v>2017.0</v>
      </c>
      <c r="C159" s="3" t="s">
        <v>90</v>
      </c>
      <c r="D159" s="4" t="s">
        <v>348</v>
      </c>
      <c r="E159" s="3" t="s">
        <v>127</v>
      </c>
      <c r="F159" s="5" t="s">
        <v>349</v>
      </c>
      <c r="G159" s="5" t="str">
        <f>IFERROR(__xludf.DUMMYFUNCTION("""COMPUTED_VALUE"""),"Rep. Joyce McCreight [D] Sen. Roger Katz [R] Sen. Benjamin Chipman [D] Rep. Dale Denno [D], Rep. Michael Devin [D] Rep. Kimberly Monaghan-Derrig [D] Rep. Anne Perry [D] Sen. Denise Tepler [D], Rep. Maureen Terry [D]")</f>
        <v>Rep. Joyce McCreight [D] Sen. Roger Katz [R] Sen. Benjamin Chipman [D] Rep. Dale Denno [D], Rep. Michael Devin [D] Rep. Kimberly Monaghan-Derrig [D] Rep. Anne Perry [D] Sen. Denise Tepler [D], Rep. Maureen Terry [D]</v>
      </c>
      <c r="H159" s="6">
        <f t="shared" si="23"/>
        <v>9</v>
      </c>
      <c r="I159" s="5">
        <v>5.0</v>
      </c>
      <c r="J159" s="5">
        <v>4.0</v>
      </c>
      <c r="K159" s="5">
        <v>0.0</v>
      </c>
      <c r="L159" s="6">
        <f t="shared" si="12"/>
        <v>0.5555555556</v>
      </c>
      <c r="M159" s="5">
        <v>9.0</v>
      </c>
      <c r="N159" s="5">
        <v>0.0</v>
      </c>
      <c r="O159" s="5">
        <v>0.0</v>
      </c>
      <c r="P159" s="5">
        <v>0.0</v>
      </c>
      <c r="Q159" s="5">
        <v>0.0</v>
      </c>
      <c r="R159" s="5">
        <v>0.0</v>
      </c>
      <c r="S159" s="5">
        <v>0.0</v>
      </c>
      <c r="T159" s="6">
        <f t="shared" si="13"/>
        <v>0</v>
      </c>
      <c r="U159" s="5">
        <f t="shared" si="43"/>
        <v>8</v>
      </c>
      <c r="V159" s="5">
        <f t="shared" si="44"/>
        <v>1</v>
      </c>
      <c r="W159" s="5">
        <f t="shared" si="45"/>
        <v>0</v>
      </c>
      <c r="X159" s="6">
        <f t="shared" si="17"/>
        <v>0.8888888889</v>
      </c>
    </row>
    <row r="160">
      <c r="A160" s="3" t="s">
        <v>135</v>
      </c>
      <c r="B160" s="3">
        <v>2017.0</v>
      </c>
      <c r="C160" s="3" t="s">
        <v>90</v>
      </c>
      <c r="D160" s="7" t="s">
        <v>326</v>
      </c>
      <c r="E160" s="3" t="s">
        <v>127</v>
      </c>
      <c r="F160" s="5" t="s">
        <v>327</v>
      </c>
      <c r="G160" s="5" t="str">
        <f>IFERROR(__xludf.DUMMYFUNCTION("""COMPUTED_VALUE"""),"Rep. Jeff Barker [D], Rep. Jennifer Williamson [D], Rep. Julianne Fahey [D], Sen. Richard Devlin [D], Sen. Laurie Monnes Anderson [D], Rep. Teresa Alonso Leon [D], Rep. Deborah Boone [D], Rep. David Gomberg [D], Rep. Ken Helm [D], Rep. Diego Hernandez [D]"&amp;", Rep. Paul Holvey [D], Rep. Alissa Keny-Guyer [D], Rep. Ann Lininger [D], Rep. Sheri Malstrom Schouten [D], Rep. Pam Marsh [D], Rep. Susan McLain [D], Sen. Mark Meek [D], Rep. Robert Nosse [D], Rep. Carla Piluso [D], Rep. Karin Power [D], Rep. Dan Rayfie"&amp;"ld [D], Rep. Jeff Reardon [D], Rep. Tawna Sanchez [D], Rep. Barbara Warner [D], Sen. Janeen Sollman [D], Rep. Bradley Witt [D], Sen. Leslee Beyer [D], Sen. Michael Dembrow [D], Sen. Lew Frederick [D], Sen. Sara Gelser Blouin [D], Sen. James Manning [D], S"&amp;"en. Floyd Prozanski [D], Sen. Charles Riley [D], Sen. Elizabeth Steiner Hayward [D], Sen. Kathleen Taylor [D]")</f>
        <v>Rep. Jeff Barker [D], Rep. Jennifer Williamson [D], Rep. Julianne Fahey [D], Sen. Richard Devlin [D], Sen. Laurie Monnes Anderson [D], Rep. Teresa Alonso Leon [D], Rep. Deborah Boone [D], Rep. David Gomberg [D], Rep. Ken Helm [D], Rep. Diego Hernandez [D], Rep. Paul Holvey [D], Rep. Alissa Keny-Guyer [D], Rep. Ann Lininger [D], Rep. Sheri Malstrom Schouten [D], Rep. Pam Marsh [D], Rep. Susan McLain [D], Sen. Mark Meek [D], Rep. Robert Nosse [D], Rep. Carla Piluso [D], Rep. Karin Power [D], Rep. Dan Rayfield [D], Rep. Jeff Reardon [D], Rep. Tawna Sanchez [D], Rep. Barbara Warner [D], Sen. Janeen Sollman [D], Rep. Bradley Witt [D], Sen. Leslee Beyer [D], Sen. Michael Dembrow [D], Sen. Lew Frederick [D], Sen. Sara Gelser Blouin [D], Sen. James Manning [D], Sen. Floyd Prozanski [D], Sen. Charles Riley [D], Sen. Elizabeth Steiner Hayward [D], Sen. Kathleen Taylor [D]</v>
      </c>
      <c r="H160" s="6">
        <f t="shared" si="23"/>
        <v>35</v>
      </c>
      <c r="I160" s="5">
        <v>20.0</v>
      </c>
      <c r="J160" s="5">
        <v>15.0</v>
      </c>
      <c r="K160" s="5">
        <v>0.0</v>
      </c>
      <c r="L160" s="6">
        <f t="shared" si="12"/>
        <v>0.5714285714</v>
      </c>
      <c r="M160" s="5">
        <v>29.0</v>
      </c>
      <c r="N160" s="5">
        <v>2.0</v>
      </c>
      <c r="O160" s="5">
        <v>3.0</v>
      </c>
      <c r="P160" s="5">
        <v>0.0</v>
      </c>
      <c r="Q160" s="5">
        <v>1.0</v>
      </c>
      <c r="R160" s="5">
        <v>0.0</v>
      </c>
      <c r="S160" s="5">
        <v>0.0</v>
      </c>
      <c r="T160" s="6">
        <f t="shared" si="13"/>
        <v>0.1714285714</v>
      </c>
      <c r="U160" s="7">
        <f t="shared" si="43"/>
        <v>35</v>
      </c>
      <c r="V160" s="7">
        <f t="shared" si="44"/>
        <v>0</v>
      </c>
      <c r="W160" s="7">
        <f t="shared" si="45"/>
        <v>0</v>
      </c>
      <c r="X160" s="6">
        <f t="shared" si="17"/>
        <v>1</v>
      </c>
    </row>
    <row r="161">
      <c r="A161" s="3" t="s">
        <v>51</v>
      </c>
      <c r="B161" s="3">
        <v>2017.0</v>
      </c>
      <c r="C161" s="3" t="s">
        <v>95</v>
      </c>
      <c r="D161" s="4" t="s">
        <v>350</v>
      </c>
      <c r="E161" s="3" t="s">
        <v>183</v>
      </c>
      <c r="F161" s="5" t="s">
        <v>349</v>
      </c>
      <c r="G161" s="5" t="str">
        <f>IFERROR(__xludf.DUMMYFUNCTION("""COMPUTED_VALUE"""),"Rep. Joyce McCreight [D] Sen. Roger Katz [R] Sen. Benjamin Chipman [D] Rep. Dale Denno [D], Rep. Michael Devin [D] Rep. Kimberly Monaghan-Derrig [D] Rep. Anne Perry [D] Sen. Denise Tepler [D], Rep. Maureen Terry [D]")</f>
        <v>Rep. Joyce McCreight [D] Sen. Roger Katz [R] Sen. Benjamin Chipman [D] Rep. Dale Denno [D], Rep. Michael Devin [D] Rep. Kimberly Monaghan-Derrig [D] Rep. Anne Perry [D] Sen. Denise Tepler [D], Rep. Maureen Terry [D]</v>
      </c>
      <c r="H161" s="6">
        <f t="shared" si="23"/>
        <v>9</v>
      </c>
      <c r="I161" s="5">
        <v>5.0</v>
      </c>
      <c r="J161" s="5">
        <v>4.0</v>
      </c>
      <c r="K161" s="5">
        <v>0.0</v>
      </c>
      <c r="L161" s="6">
        <f t="shared" si="12"/>
        <v>0.5555555556</v>
      </c>
      <c r="M161" s="5">
        <v>9.0</v>
      </c>
      <c r="N161" s="5">
        <v>0.0</v>
      </c>
      <c r="O161" s="5">
        <v>0.0</v>
      </c>
      <c r="P161" s="5">
        <v>0.0</v>
      </c>
      <c r="Q161" s="5">
        <v>0.0</v>
      </c>
      <c r="R161" s="5">
        <v>0.0</v>
      </c>
      <c r="S161" s="5">
        <v>0.0</v>
      </c>
      <c r="T161" s="6">
        <f t="shared" si="13"/>
        <v>0</v>
      </c>
      <c r="U161" s="5">
        <f t="shared" si="43"/>
        <v>8</v>
      </c>
      <c r="V161" s="5">
        <f t="shared" si="44"/>
        <v>1</v>
      </c>
      <c r="W161" s="5">
        <f t="shared" si="45"/>
        <v>0</v>
      </c>
      <c r="X161" s="6">
        <f t="shared" si="17"/>
        <v>0.8888888889</v>
      </c>
    </row>
    <row r="162">
      <c r="A162" s="3" t="s">
        <v>131</v>
      </c>
      <c r="B162" s="3">
        <v>2017.0</v>
      </c>
      <c r="C162" s="3" t="s">
        <v>95</v>
      </c>
      <c r="D162" s="4" t="s">
        <v>351</v>
      </c>
      <c r="E162" s="3" t="s">
        <v>183</v>
      </c>
      <c r="F162" s="5" t="s">
        <v>352</v>
      </c>
      <c r="G162" s="5" t="str">
        <f>IFERROR(__xludf.DUMMYFUNCTION("""COMPUTED_VALUE"""),"Rep. Jason Frierson [D], Rep. Shannon Bilbray-Axelrod [D], Rep. Michael Sprinkle [D], Rep. Teresa Benitez-Thompson [D], Rep. Steve Yeager [D], Rep. Elliot Anderson [D], Rep. Nelson Araujo [D], Sen. Chris Brooks [D], Rep. Irene Bustamante Adams [D], Rep. M"&amp;"aggie Carlton [D], Rep. Richard Carrillo [D], Rep. Lesley Cohen [D], Sen. Richard Daly [D], Rep. Olivia Diaz [D], Sen. Edgar Flores [D], Rep. Ozzie Fumo [D], Rep. Sandra Jauregui [D], Rep. Amber Joiner [D], Rep. William McCurdy [D], Rep. Brittney Miller ["&amp;"D], Rep. Daniele Monroe-Moreno [D], Sen. Dina Neal [D], Sen. James Ohrenschall [D], Rep. Ellen Spiegel [D], Rep. Heidi Swank [D], Rep. Tyrone Thompson [D], Rep. Justin Watkins [D]")</f>
        <v>Rep. Jason Frierson [D], Rep. Shannon Bilbray-Axelrod [D], Rep. Michael Sprinkle [D], Rep. Teresa Benitez-Thompson [D], Rep. Steve Yeager [D], Rep. Elliot Anderson [D], Rep. Nelson Araujo [D], Sen. Chris Brooks [D], Rep. Irene Bustamante Adams [D], Rep. Maggie Carlton [D], Rep. Richard Carrillo [D], Rep. Lesley Cohen [D], Sen. Richard Daly [D], Rep. Olivia Diaz [D], Sen. Edgar Flores [D], Rep. Ozzie Fumo [D], Rep. Sandra Jauregui [D], Rep. Amber Joiner [D], Rep. William McCurdy [D], Rep. Brittney Miller [D], Rep. Daniele Monroe-Moreno [D], Sen. Dina Neal [D], Sen. James Ohrenschall [D], Rep. Ellen Spiegel [D], Rep. Heidi Swank [D], Rep. Tyrone Thompson [D], Rep. Justin Watkins [D]</v>
      </c>
      <c r="H162" s="6">
        <f t="shared" si="23"/>
        <v>27</v>
      </c>
      <c r="I162" s="5">
        <v>13.0</v>
      </c>
      <c r="J162" s="5">
        <v>14.0</v>
      </c>
      <c r="K162" s="5">
        <v>0.0</v>
      </c>
      <c r="L162" s="6">
        <f t="shared" si="12"/>
        <v>0.4814814815</v>
      </c>
      <c r="M162" s="5">
        <v>14.0</v>
      </c>
      <c r="N162" s="5">
        <v>6.0</v>
      </c>
      <c r="O162" s="5">
        <v>7.0</v>
      </c>
      <c r="P162" s="5">
        <v>0.0</v>
      </c>
      <c r="Q162" s="5">
        <v>0.0</v>
      </c>
      <c r="R162" s="5">
        <v>0.0</v>
      </c>
      <c r="S162" s="5">
        <v>0.0</v>
      </c>
      <c r="T162" s="6">
        <f t="shared" si="13"/>
        <v>0.4814814815</v>
      </c>
      <c r="U162" s="5">
        <f t="shared" si="43"/>
        <v>27</v>
      </c>
      <c r="V162" s="5">
        <f t="shared" si="44"/>
        <v>0</v>
      </c>
      <c r="W162" s="5">
        <f t="shared" si="45"/>
        <v>0</v>
      </c>
      <c r="X162" s="6">
        <f t="shared" si="17"/>
        <v>1</v>
      </c>
    </row>
    <row r="163">
      <c r="A163" s="3" t="s">
        <v>189</v>
      </c>
      <c r="B163" s="3">
        <v>2017.0</v>
      </c>
      <c r="C163" s="3" t="s">
        <v>95</v>
      </c>
      <c r="D163" s="4" t="s">
        <v>353</v>
      </c>
      <c r="E163" s="3" t="s">
        <v>99</v>
      </c>
      <c r="F163" s="5" t="s">
        <v>354</v>
      </c>
      <c r="G163" s="5" t="str">
        <f>IFERROR(__xludf.DUMMYFUNCTION("""COMPUTED_VALUE"""),"Rep. Valerie Huttle [D], Rep. Grace Spencer [D], Rep. Shavonda Sumter [D], Sen. Raj Mukherji [D], Rep. Marlene Caride [D], Rep. Joann Downey [D], Sen. Andrew Zwicker [D], Sen. Benjie Wimberly [D], Sen. Shirley Turner [D], Sen. Diane Allen [R], Rep. Elizab"&amp;"eth Maher Muoio [D], Sen. Gordon Johnson [D], Rep. Pamela Lampitt [D], Rep. Annette Quijano [D], Sen. John McKeon [D], Rep. John Wisniewski [D], Rep. Mila Jasey [D], Rep. Arthur Barclay [D], Sen. Sandra Cunningham [D], Sen. Robert Gordon [D], Sen. Teresa "&amp;"Ruiz [D], Sen. Angela Mcknight [D], Rep. Cleopatra Tucker [D], Rep. Craig Coughlin [D], Rep. Nicholas Chiaravalloti [D], Sen. Linda Greenstein [D]")</f>
        <v>Rep. Valerie Huttle [D], Rep. Grace Spencer [D], Rep. Shavonda Sumter [D], Sen. Raj Mukherji [D], Rep. Marlene Caride [D], Rep. Joann Downey [D], Sen. Andrew Zwicker [D], Sen. Benjie Wimberly [D], Sen. Shirley Turner [D], Sen. Diane Allen [R], Rep. Elizabeth Maher Muoio [D], Sen. Gordon Johnson [D], Rep. Pamela Lampitt [D], Rep. Annette Quijano [D], Sen. John McKeon [D], Rep. John Wisniewski [D], Rep. Mila Jasey [D], Rep. Arthur Barclay [D], Sen. Sandra Cunningham [D], Sen. Robert Gordon [D], Sen. Teresa Ruiz [D], Sen. Angela Mcknight [D], Rep. Cleopatra Tucker [D], Rep. Craig Coughlin [D], Rep. Nicholas Chiaravalloti [D], Sen. Linda Greenstein [D]</v>
      </c>
      <c r="H163" s="6">
        <f t="shared" si="23"/>
        <v>26</v>
      </c>
      <c r="I163" s="5">
        <v>16.0</v>
      </c>
      <c r="J163" s="5">
        <v>10.0</v>
      </c>
      <c r="K163" s="5">
        <v>0.0</v>
      </c>
      <c r="L163" s="6">
        <f t="shared" si="12"/>
        <v>0.6153846154</v>
      </c>
      <c r="M163" s="5">
        <v>12.0</v>
      </c>
      <c r="N163" s="5">
        <v>10.0</v>
      </c>
      <c r="O163" s="5">
        <v>3.0</v>
      </c>
      <c r="P163" s="5">
        <v>1.0</v>
      </c>
      <c r="Q163" s="5">
        <v>0.0</v>
      </c>
      <c r="R163" s="5">
        <v>0.0</v>
      </c>
      <c r="S163" s="5">
        <v>0.0</v>
      </c>
      <c r="T163" s="6">
        <f t="shared" si="13"/>
        <v>0.5384615385</v>
      </c>
      <c r="U163" s="5">
        <f t="shared" si="43"/>
        <v>25</v>
      </c>
      <c r="V163" s="5">
        <f t="shared" si="44"/>
        <v>1</v>
      </c>
      <c r="W163" s="5">
        <f t="shared" si="45"/>
        <v>0</v>
      </c>
      <c r="X163" s="6">
        <f t="shared" si="17"/>
        <v>0.9615384615</v>
      </c>
    </row>
    <row r="164">
      <c r="A164" s="3" t="s">
        <v>108</v>
      </c>
      <c r="B164" s="3">
        <v>2017.0</v>
      </c>
      <c r="C164" s="3" t="s">
        <v>95</v>
      </c>
      <c r="D164" s="4" t="s">
        <v>355</v>
      </c>
      <c r="E164" s="3" t="s">
        <v>183</v>
      </c>
      <c r="F164" s="5" t="s">
        <v>356</v>
      </c>
      <c r="G164" s="5" t="str">
        <f>IFERROR(__xludf.DUMMYFUNCTION("""COMPUTED_VALUE"""),"Del. Eileen Filler-Corn [D], Del. Marcia Price [D], Sen. Lashrecse Aird [D], Del. David Albo [R], Del. Richard Anderson [R], Del. Terry Austin [R], Del. Robert Bloxom [R], Sen. Jennifer Boysko [D], Del. David Bulova [D], Del. Jeffrey Campbell [R], Del. Ch"&amp;"ristopher Collins [R], Del. James Edmunds [R], Del. Matt Fariss [R], Del. Peter Farrell [R], Del. Hyland Fowler [R], Del. Scott Garrett [R], Del. Thomas Greason [R], Del. Charniele Herring [D], Del. Daun Hester [D], Del. Rocky Holcomb [R], Del. Patrick Ho"&amp;"pe [D], Del. Timothy Hugo [R], Del. Riley Ingram [R], Del. Chris Jones [R], Del. Mark Keam [D], Del. Barry Knight [R], Del. Kaye Kory [D], Del. Steven Landes [R], Del. James Leftwich [R], Del. James LeMunyon [R], Del. Mark Levine [D], Del. Scott Lingamfel"&amp;"ter [R], Del. Alfonso Lopez [D], Del. George Loupassi [R], Del. Daniel Marshall [R], Del. James Massie [R], Del. Jackson Miller [R], Del. Randall Minchew [R], Del. Jason Miyares [R], Del. Kathleen Murphy [D], Del. Israel O'Quinn [R], Del. Robert Orrock [R"&amp;"], Del. Kenneth Plum [D], Del. Brenda Pogge [R], Del. Charles Poindexter [R], Del. Margaret Ransone [R], Del. Sam Rasoul [D], Del. Roxann Robinson [R], Del. Mark Sickles [D], Del. Marcus Simon [D], Del. Christopher Stolle [R], Del. Richard Sullivan [D], D"&amp;"el. David Toscano [D], Del. Roslyn Tyler [D], Del. Ron Villanueva [R], Del. Jeion Ward [D], Del. Vivian Watts [D], Del. Tony Wilt [R], Del. David Yancey [R]")</f>
        <v>Del. Eileen Filler-Corn [D], Del. Marcia Price [D], Sen. Lashrecse Aird [D], Del. David Albo [R], Del. Richard Anderson [R], Del. Terry Austin [R], Del. Robert Bloxom [R], Sen. Jennifer Boysko [D], Del. David Bulova [D], Del. Jeffrey Campbell [R], Del. Christopher Collins [R], Del. James Edmunds [R], Del. Matt Fariss [R], Del. Peter Farrell [R], Del. Hyland Fowler [R], Del. Scott Garrett [R], Del. Thomas Greason [R], Del. Charniele Herring [D], Del. Daun Hester [D], Del. Rocky Holcomb [R], Del. Patrick Hope [D], Del. Timothy Hugo [R], Del. Riley Ingram [R], Del. Chris Jones [R], Del. Mark Keam [D], Del. Barry Knight [R], Del. Kaye Kory [D], Del. Steven Landes [R], Del. James Leftwich [R], Del. James LeMunyon [R], Del. Mark Levine [D], Del. Scott Lingamfelter [R], Del. Alfonso Lopez [D], Del. George Loupassi [R], Del. Daniel Marshall [R], Del. James Massie [R], Del. Jackson Miller [R], Del. Randall Minchew [R], Del. Jason Miyares [R], Del. Kathleen Murphy [D], Del. Israel O'Quinn [R], Del. Robert Orrock [R], Del. Kenneth Plum [D], Del. Brenda Pogge [R], Del. Charles Poindexter [R], Del. Margaret Ransone [R], Del. Sam Rasoul [D], Del. Roxann Robinson [R], Del. Mark Sickles [D], Del. Marcus Simon [D], Del. Christopher Stolle [R], Del. Richard Sullivan [D], Del. David Toscano [D], Del. Roslyn Tyler [D], Del. Ron Villanueva [R], Del. Jeion Ward [D], Del. Vivian Watts [D], Del. Tony Wilt [R], Del. David Yancey [R]</v>
      </c>
      <c r="H164" s="6">
        <f t="shared" si="23"/>
        <v>59</v>
      </c>
      <c r="I164" s="5">
        <v>17.0</v>
      </c>
      <c r="J164" s="5">
        <v>40.0</v>
      </c>
      <c r="K164" s="5">
        <v>0.0</v>
      </c>
      <c r="L164" s="6">
        <f t="shared" si="12"/>
        <v>0.2881355932</v>
      </c>
      <c r="M164" s="5">
        <v>49.0</v>
      </c>
      <c r="N164" s="5">
        <v>6.0</v>
      </c>
      <c r="O164" s="5">
        <v>2.0</v>
      </c>
      <c r="P164" s="5">
        <v>2.0</v>
      </c>
      <c r="Q164" s="5">
        <v>0.0</v>
      </c>
      <c r="R164" s="5">
        <v>0.0</v>
      </c>
      <c r="S164" s="5">
        <v>0.0</v>
      </c>
      <c r="T164" s="6">
        <f t="shared" si="13"/>
        <v>0.1694915254</v>
      </c>
      <c r="U164" s="7">
        <f t="shared" si="43"/>
        <v>22</v>
      </c>
      <c r="V164" s="7">
        <f t="shared" si="44"/>
        <v>37</v>
      </c>
      <c r="W164" s="7">
        <f t="shared" si="45"/>
        <v>0</v>
      </c>
      <c r="X164" s="6">
        <f t="shared" si="17"/>
        <v>0.3728813559</v>
      </c>
    </row>
    <row r="165">
      <c r="A165" s="3" t="s">
        <v>143</v>
      </c>
      <c r="B165" s="3">
        <v>2017.0</v>
      </c>
      <c r="C165" s="3" t="s">
        <v>95</v>
      </c>
      <c r="D165" s="4" t="s">
        <v>357</v>
      </c>
      <c r="E165" s="3" t="s">
        <v>183</v>
      </c>
      <c r="F165" s="5" t="s">
        <v>358</v>
      </c>
      <c r="G165" s="5" t="str">
        <f>IFERROR(__xludf.DUMMYFUNCTION("""COMPUTED_VALUE"""),"Sen. June Robinson [D], Rep. Kristine Lytton [D], Rep. Tana Senn [D], Sen. Noel Frame [D], Rep. Beth Doglio [D], Rep. Gael Tarleton [D], Sen. Drew Hansen [D], Rep. Laurie Jinkins [D], Rep. Eileen Cody [D], Rep. Lillian Ortiz-Self [D], Sen. Marcus Riccelli"&amp;" [D], Rep. Melanie Stambaugh [R], Rep. Nicole Macri [D], Rep. Gerry Pollet [D], Rep. Steve Tharinger [D], Rep. Judith Clibborn [D], Rep. Monica Stonier [D], Rep. Michelle Caldier [R], Rep. Michael Sells [D], Rep. Mia Gregerson [D], Rep. Sharon Wylie [D], "&amp;"Rep. Christine Kilduff [D], Rep. Joan Mcbride [D], Rep. Roger Goodman [D], Rep. Steve Bergquist [D], Rep. Timm Ormsby [D], Sen. Derek Stanford [D], Sen. Vandana Slatter [D], Rep. Shelley Kloba [D]")</f>
        <v>Sen. June Robinson [D], Rep. Kristine Lytton [D], Rep. Tana Senn [D], Sen. Noel Frame [D], Rep. Beth Doglio [D], Rep. Gael Tarleton [D], Sen. Drew Hansen [D], Rep. Laurie Jinkins [D], Rep. Eileen Cody [D], Rep. Lillian Ortiz-Self [D], Sen. Marcus Riccelli [D], Rep. Melanie Stambaugh [R], Rep. Nicole Macri [D], Rep. Gerry Pollet [D], Rep. Steve Tharinger [D], Rep. Judith Clibborn [D], Rep. Monica Stonier [D], Rep. Michelle Caldier [R], Rep. Michael Sells [D], Rep. Mia Gregerson [D], Rep. Sharon Wylie [D], Rep. Christine Kilduff [D], Rep. Joan Mcbride [D], Rep. Roger Goodman [D], Rep. Steve Bergquist [D], Rep. Timm Ormsby [D], Sen. Derek Stanford [D], Sen. Vandana Slatter [D], Rep. Shelley Kloba [D]</v>
      </c>
      <c r="H165" s="6">
        <f t="shared" si="23"/>
        <v>29</v>
      </c>
      <c r="I165" s="5">
        <v>20.0</v>
      </c>
      <c r="J165" s="5">
        <v>9.0</v>
      </c>
      <c r="K165" s="5">
        <v>0.0</v>
      </c>
      <c r="L165" s="6">
        <f t="shared" si="12"/>
        <v>0.6896551724</v>
      </c>
      <c r="M165" s="5">
        <v>25.0</v>
      </c>
      <c r="N165" s="5">
        <v>0.0</v>
      </c>
      <c r="O165" s="5">
        <v>1.0</v>
      </c>
      <c r="P165" s="5">
        <v>3.0</v>
      </c>
      <c r="Q165" s="5">
        <v>0.0</v>
      </c>
      <c r="R165" s="5">
        <v>0.0</v>
      </c>
      <c r="S165" s="5">
        <v>0.0</v>
      </c>
      <c r="T165" s="6">
        <f t="shared" si="13"/>
        <v>0.1379310345</v>
      </c>
      <c r="U165" s="7">
        <f t="shared" si="43"/>
        <v>27</v>
      </c>
      <c r="V165" s="7">
        <f t="shared" si="44"/>
        <v>2</v>
      </c>
      <c r="W165" s="7">
        <f t="shared" si="45"/>
        <v>0</v>
      </c>
      <c r="X165" s="6">
        <f t="shared" si="17"/>
        <v>0.9310344828</v>
      </c>
    </row>
    <row r="166">
      <c r="A166" s="3" t="s">
        <v>135</v>
      </c>
      <c r="B166" s="3">
        <v>2017.0</v>
      </c>
      <c r="C166" s="3" t="s">
        <v>187</v>
      </c>
      <c r="D166" s="4" t="s">
        <v>326</v>
      </c>
      <c r="E166" s="7" t="s">
        <v>359</v>
      </c>
      <c r="F166" s="5" t="s">
        <v>327</v>
      </c>
      <c r="G166" s="5" t="str">
        <f>IFERROR(__xludf.DUMMYFUNCTION("""COMPUTED_VALUE"""),"Rep. Jeff Barker [D], Rep. Jennifer Williamson [D], Rep. Julianne Fahey [D], Sen. Richard Devlin [D], Sen. Laurie Monnes Anderson [D], Rep. Teresa Alonso Leon [D], Rep. Deborah Boone [D], Rep. David Gomberg [D], Rep. Ken Helm [D], Rep. Diego Hernandez [D]"&amp;", Rep. Paul Holvey [D], Rep. Alissa Keny-Guyer [D], Rep. Ann Lininger [D], Rep. Sheri Malstrom Schouten [D], Rep. Pam Marsh [D], Rep. Susan McLain [D], Sen. Mark Meek [D], Rep. Robert Nosse [D], Rep. Carla Piluso [D], Rep. Karin Power [D], Rep. Dan Rayfie"&amp;"ld [D], Rep. Jeff Reardon [D], Rep. Tawna Sanchez [D], Rep. Barbara Warner [D], Sen. Janeen Sollman [D], Rep. Bradley Witt [D], Sen. Leslee Beyer [D], Sen. Michael Dembrow [D], Sen. Lew Frederick [D], Sen. Sara Gelser Blouin [D], Sen. James Manning [D], S"&amp;"en. Floyd Prozanski [D], Sen. Charles Riley [D], Sen. Elizabeth Steiner Hayward [D], Sen. Kathleen Taylor [D]")</f>
        <v>Rep. Jeff Barker [D], Rep. Jennifer Williamson [D], Rep. Julianne Fahey [D], Sen. Richard Devlin [D], Sen. Laurie Monnes Anderson [D], Rep. Teresa Alonso Leon [D], Rep. Deborah Boone [D], Rep. David Gomberg [D], Rep. Ken Helm [D], Rep. Diego Hernandez [D], Rep. Paul Holvey [D], Rep. Alissa Keny-Guyer [D], Rep. Ann Lininger [D], Rep. Sheri Malstrom Schouten [D], Rep. Pam Marsh [D], Rep. Susan McLain [D], Sen. Mark Meek [D], Rep. Robert Nosse [D], Rep. Carla Piluso [D], Rep. Karin Power [D], Rep. Dan Rayfield [D], Rep. Jeff Reardon [D], Rep. Tawna Sanchez [D], Rep. Barbara Warner [D], Sen. Janeen Sollman [D], Rep. Bradley Witt [D], Sen. Leslee Beyer [D], Sen. Michael Dembrow [D], Sen. Lew Frederick [D], Sen. Sara Gelser Blouin [D], Sen. James Manning [D], Sen. Floyd Prozanski [D], Sen. Charles Riley [D], Sen. Elizabeth Steiner Hayward [D], Sen. Kathleen Taylor [D]</v>
      </c>
      <c r="H166" s="6">
        <f t="shared" si="23"/>
        <v>35</v>
      </c>
      <c r="I166" s="5">
        <v>20.0</v>
      </c>
      <c r="J166" s="5">
        <v>15.0</v>
      </c>
      <c r="K166" s="5">
        <v>0.0</v>
      </c>
      <c r="L166" s="6">
        <f t="shared" si="12"/>
        <v>0.5714285714</v>
      </c>
      <c r="M166" s="5">
        <v>29.0</v>
      </c>
      <c r="N166" s="5">
        <v>2.0</v>
      </c>
      <c r="O166" s="5">
        <v>3.0</v>
      </c>
      <c r="P166" s="5">
        <v>0.0</v>
      </c>
      <c r="Q166" s="5">
        <v>1.0</v>
      </c>
      <c r="R166" s="5">
        <v>0.0</v>
      </c>
      <c r="S166" s="5">
        <v>0.0</v>
      </c>
      <c r="T166" s="6">
        <f t="shared" si="13"/>
        <v>0.1714285714</v>
      </c>
      <c r="U166" s="7">
        <f t="shared" si="43"/>
        <v>35</v>
      </c>
      <c r="V166" s="7">
        <f t="shared" si="44"/>
        <v>0</v>
      </c>
      <c r="W166" s="7">
        <f t="shared" si="45"/>
        <v>0</v>
      </c>
      <c r="X166" s="6">
        <f t="shared" si="17"/>
        <v>1</v>
      </c>
    </row>
    <row r="167">
      <c r="A167" s="3" t="s">
        <v>159</v>
      </c>
      <c r="B167" s="3">
        <v>2017.0</v>
      </c>
      <c r="C167" s="3" t="s">
        <v>25</v>
      </c>
      <c r="D167" s="4" t="s">
        <v>360</v>
      </c>
      <c r="E167" s="7" t="s">
        <v>361</v>
      </c>
      <c r="F167" s="5" t="s">
        <v>362</v>
      </c>
      <c r="G167" s="5" t="str">
        <f>IFERROR(__xludf.DUMMYFUNCTION("""COMPUTED_VALUE"""),"Rep. John Smithee [R] Rep. Larry Phillips [R] Rep. Greg Bonnen [R] Rep. Dennis Bonnen [R], Rep. Jodie Laubenberg [R] Rep. Charles Anderson [R] Rep. Rodney Anderson [R] Rep. Cecil Bell [R], Rep. Kyle Biedermann [R] Rep. Dwayne Bohac [R] Rep. Cindy Burkett "&amp;"[R] Rep. Dewayne Burns [R], Rep. Dustin Burrows [R] Rep. Angie Button [R] Rep. Briscoe Cain [R] Rep. Giovanni Capriglione [R], Rep. Travis Clardy [R] Rep. Scott Cosper [R] Rep. John Cyrier [R] Rep. Jay Dean [R], Rep. Gary Elkins [R] Rep. Wayne Faircloth ["&amp;"R] Sen. Pat Fallon [R] Rep. Dan Flynn [R], Rep. James Frank [R] Rep. John Frullo [R] Rep. Craig Goldman [R] Rep. Lance Gooden [R], Rep. Cole Hefner [R] Rep. Justin Holland [R] Rep. Dan Huberty [R] Rep. Jason Isaac [R], Rep. Kyle Kacal [R] Rep. Mark Keough"&amp;" [R] Sen. Phil King [R] Rep. Stephanie Klick [R], Rep. Matt Krause [R] Rep. Stan Lambert [R] Rep. Brooks Landgraf [R] Rep. Mike Lang [R], Rep. Jeff Leach [R] Rep. J.M. Lozano [R] Rep. William Metcalf [R] Rep. Morgan Meyer [R], Rep. Rick Miller [R] Rep. Ji"&amp;"m Murphy [R] Rep. Andrew Murr [R] Rep. Tom Oliverson [R], Rep. Chris Paddie [R] Sen. Tan Parker [R] Rep. Dennis Paul [R] Rep. Dade Phelan [R], Rep. Four Price [R] Rep. Matt Rinaldi [R] Rep. Kevin Roberts [R] Rep. Scott Sanford [R], Rep. Matt Schaefer [R] "&amp;"Rep. Mike Schofield [R] Rep. Leighton Schubert [R] Rep. Matthew Shaheen [R], Rep. J.D. Sheffield [R] Rep. Hugh Shine [R] Rep. Ron Simmons [R] Sen. Drew Springer [R], Rep. Phil Stephenson [R] Rep. Jonathan Stickland [R] Rep. Lynn Stucky [R] Rep. Valoree Sw"&amp;"anson [R], Rep. Ed Thompson [R] Rep. Tony Tinderholt [R] Rep. Gary Vandeaver [R] Rep. Jason Villalba [R], Rep. James White [R] Rep. Terry Wilson [R] Rep. Paul Workman [R] Rep. John Wray [R], Rep. William Zedler [R] Rep. John Zerwas [R] Sen. Charles Creigh"&amp;"ton [R] Sen. Bob Hall [R]")</f>
        <v>Rep. John Smithee [R] Rep. Larry Phillips [R] Rep. Greg Bonnen [R] Rep. Dennis Bonnen [R], Rep. Jodie Laubenberg [R] Rep. Charles Anderson [R] Rep. Rodney Anderson [R] Rep. Cecil Bell [R], Rep. Kyle Biedermann [R] Rep. Dwayne Bohac [R] Rep. Cindy Burkett [R] Rep. Dewayne Burns [R], Rep. Dustin Burrows [R] Rep. Angie Button [R] Rep. Briscoe Cain [R] Rep. Giovanni Capriglione [R], Rep. Travis Clardy [R] Rep. Scott Cosper [R] Rep. John Cyrier [R] Rep. Jay Dean [R], Rep. Gary Elkins [R] Rep. Wayne Faircloth [R] Sen. Pat Fallon [R] Rep. Dan Flynn [R], Rep. James Frank [R] Rep. John Frullo [R] Rep. Craig Goldman [R] Rep. Lance Gooden [R], Rep. Cole Hefner [R] Rep. Justin Holland [R] Rep. Dan Huberty [R] Rep. Jason Isaac [R], Rep. Kyle Kacal [R] Rep. Mark Keough [R] Sen. Phil King [R] Rep. Stephanie Klick [R], Rep. Matt Krause [R] Rep. Stan Lambert [R] Rep. Brooks Landgraf [R] Rep. Mike Lang [R], Rep. Jeff Leach [R] Rep. J.M. Lozano [R] Rep. William Metcalf [R] Rep. Morgan Meyer [R], Rep. Rick Miller [R] Rep. Jim Murphy [R] Rep. Andrew Murr [R] Rep. Tom Oliverson [R], Rep. Chris Paddie [R] Sen. Tan Parker [R] Rep. Dennis Paul [R] Rep. Dade Phelan [R], Rep. Four Price [R] Rep. Matt Rinaldi [R] Rep. Kevin Roberts [R] Rep. Scott Sanford [R], Rep. Matt Schaefer [R] Rep. Mike Schofield [R] Rep. Leighton Schubert [R] Rep. Matthew Shaheen [R], Rep. J.D. Sheffield [R] Rep. Hugh Shine [R] Rep. Ron Simmons [R] Sen. Drew Springer [R], Rep. Phil Stephenson [R] Rep. Jonathan Stickland [R] Rep. Lynn Stucky [R] Rep. Valoree Swanson [R], Rep. Ed Thompson [R] Rep. Tony Tinderholt [R] Rep. Gary Vandeaver [R] Rep. Jason Villalba [R], Rep. James White [R] Rep. Terry Wilson [R] Rep. Paul Workman [R] Rep. John Wray [R], Rep. William Zedler [R] Rep. John Zerwas [R] Sen. Charles Creighton [R] Sen. Bob Hall [R]</v>
      </c>
      <c r="H167" s="6">
        <f t="shared" si="23"/>
        <v>80</v>
      </c>
      <c r="I167" s="5">
        <v>5.0</v>
      </c>
      <c r="J167" s="5">
        <v>75.0</v>
      </c>
      <c r="K167" s="5">
        <v>0.0</v>
      </c>
      <c r="L167" s="6">
        <f t="shared" si="12"/>
        <v>0.0625</v>
      </c>
      <c r="M167" s="5">
        <v>76.0</v>
      </c>
      <c r="N167" s="5">
        <v>1.0</v>
      </c>
      <c r="O167" s="5">
        <v>2.0</v>
      </c>
      <c r="P167" s="5">
        <v>1.0</v>
      </c>
      <c r="Q167" s="5">
        <v>0.0</v>
      </c>
      <c r="R167" s="5">
        <v>0.0</v>
      </c>
      <c r="S167" s="5">
        <v>0.0</v>
      </c>
      <c r="T167" s="6">
        <f t="shared" si="13"/>
        <v>0.05</v>
      </c>
      <c r="U167" s="7">
        <f t="shared" si="43"/>
        <v>0</v>
      </c>
      <c r="V167" s="7">
        <f t="shared" si="44"/>
        <v>80</v>
      </c>
      <c r="W167" s="7">
        <f t="shared" si="45"/>
        <v>0</v>
      </c>
      <c r="X167" s="6">
        <f t="shared" si="17"/>
        <v>0</v>
      </c>
    </row>
    <row r="168">
      <c r="A168" s="8" t="s">
        <v>135</v>
      </c>
      <c r="B168" s="8">
        <v>2015.0</v>
      </c>
      <c r="C168" s="8" t="s">
        <v>39</v>
      </c>
      <c r="D168" s="9" t="s">
        <v>363</v>
      </c>
      <c r="E168" s="8" t="s">
        <v>85</v>
      </c>
      <c r="F168" s="5" t="s">
        <v>364</v>
      </c>
      <c r="G168" s="6" t="str">
        <f>IFERROR(__xludf.DUMMYFUNCTION("""COMPUTED_VALUE"""),"Mitch Greenlick, Cedric Hayden, Rob Nosse, Knute Buehler, Brian Clem, Bill Kennemer, Alissa Keny-Guyer, Jim Weidner, John Lively")</f>
        <v>Mitch Greenlick, Cedric Hayden, Rob Nosse, Knute Buehler, Brian Clem, Bill Kennemer, Alissa Keny-Guyer, Jim Weidner, John Lively</v>
      </c>
      <c r="H168" s="6">
        <f t="shared" si="23"/>
        <v>9</v>
      </c>
      <c r="I168" s="5">
        <v>1.0</v>
      </c>
      <c r="J168" s="5">
        <v>8.0</v>
      </c>
      <c r="K168" s="5">
        <v>0.0</v>
      </c>
      <c r="L168" s="6">
        <f t="shared" si="12"/>
        <v>0.1111111111</v>
      </c>
      <c r="M168" s="5">
        <v>9.0</v>
      </c>
      <c r="N168" s="5">
        <v>0.0</v>
      </c>
      <c r="O168" s="5">
        <v>0.0</v>
      </c>
      <c r="P168" s="5">
        <v>0.0</v>
      </c>
      <c r="Q168" s="5">
        <v>0.0</v>
      </c>
      <c r="R168" s="5">
        <v>0.0</v>
      </c>
      <c r="S168" s="5">
        <v>0.0</v>
      </c>
      <c r="T168" s="6">
        <f t="shared" si="13"/>
        <v>0</v>
      </c>
      <c r="U168" s="5">
        <v>5.0</v>
      </c>
      <c r="V168" s="5">
        <v>4.0</v>
      </c>
      <c r="W168" s="5">
        <v>0.0</v>
      </c>
      <c r="X168" s="6">
        <f t="shared" si="17"/>
        <v>0.5555555556</v>
      </c>
    </row>
    <row r="169">
      <c r="A169" s="3" t="s">
        <v>138</v>
      </c>
      <c r="B169" s="3">
        <v>2016.0</v>
      </c>
      <c r="C169" s="3" t="s">
        <v>197</v>
      </c>
      <c r="D169" s="4" t="s">
        <v>365</v>
      </c>
      <c r="E169" s="3" t="s">
        <v>199</v>
      </c>
      <c r="F169" s="5" t="s">
        <v>366</v>
      </c>
      <c r="G169" s="6" t="str">
        <f>IFERROR(__xludf.DUMMYFUNCTION("""COMPUTED_VALUE"""),"Rep. Ann Pugh [D], Rep. Timothy Briglin [D], Rep. Mollie Burke [D], Rep. Sarah Buxton [D], Rep. Sarah Copeland-Hanzas [D], Rep. Helen Head [D], Rep. Mary Hooper [D], Rep. Patricia Komline [R], Rep. Jill Krowinski [D], Rep. Michael Mrowicki [D], Sen. Chris"&amp;"topher Pearson [D], Rep. Laura Sibilia [I], Rep. Thomas Stevens [D], Rep. George Till [D], Rep. Tristan Toleno [D]")</f>
        <v>Rep. Ann Pugh [D], Rep. Timothy Briglin [D], Rep. Mollie Burke [D], Rep. Sarah Buxton [D], Rep. Sarah Copeland-Hanzas [D], Rep. Helen Head [D], Rep. Mary Hooper [D], Rep. Patricia Komline [R], Rep. Jill Krowinski [D], Rep. Michael Mrowicki [D], Sen. Christopher Pearson [D], Rep. Laura Sibilia [I], Rep. Thomas Stevens [D], Rep. George Till [D], Rep. Tristan Toleno [D]</v>
      </c>
      <c r="H169" s="6">
        <f t="shared" si="23"/>
        <v>15</v>
      </c>
      <c r="I169" s="5">
        <v>9.0</v>
      </c>
      <c r="J169" s="5">
        <v>6.0</v>
      </c>
      <c r="K169" s="5">
        <v>0.0</v>
      </c>
      <c r="L169" s="6">
        <f t="shared" si="12"/>
        <v>0.6</v>
      </c>
      <c r="M169" s="5">
        <v>15.0</v>
      </c>
      <c r="N169" s="5">
        <v>0.0</v>
      </c>
      <c r="O169" s="5">
        <v>0.0</v>
      </c>
      <c r="P169" s="5">
        <v>0.0</v>
      </c>
      <c r="Q169" s="5">
        <v>0.0</v>
      </c>
      <c r="R169" s="5">
        <v>0.0</v>
      </c>
      <c r="S169" s="5">
        <v>0.0</v>
      </c>
      <c r="T169" s="6">
        <f t="shared" si="13"/>
        <v>0</v>
      </c>
      <c r="U169" s="7">
        <f t="shared" ref="U169:U212" si="46">IF(G169 = "", "", (LEN(G169) - LEN(SUBSTITUTE(G169, "[D]", ""))) / 3)</f>
        <v>13</v>
      </c>
      <c r="V169" s="7">
        <f t="shared" ref="V169:V212" si="47">IF(G169 = "", "", (LEN(G169) - LEN(SUBSTITUTE(G169, "[R]", ""))) / 3)</f>
        <v>1</v>
      </c>
      <c r="W169" s="7">
        <f t="shared" ref="W169:W202" si="48">IF(G169 = "", "", (LEN(G169) - LEN(SUBSTITUTE(G169, "[I]", ""))) / 3)</f>
        <v>1</v>
      </c>
      <c r="X169" s="6">
        <f t="shared" si="17"/>
        <v>0.8666666667</v>
      </c>
    </row>
    <row r="170">
      <c r="A170" s="3" t="s">
        <v>114</v>
      </c>
      <c r="B170" s="3">
        <v>2016.0</v>
      </c>
      <c r="C170" s="3" t="s">
        <v>44</v>
      </c>
      <c r="D170" s="4" t="s">
        <v>367</v>
      </c>
      <c r="E170" s="3" t="s">
        <v>161</v>
      </c>
      <c r="F170" s="5" t="s">
        <v>368</v>
      </c>
      <c r="G170" s="6" t="str">
        <f>IFERROR(__xludf.DUMMYFUNCTION("""COMPUTED_VALUE"""),"Sen. Cheryl Kagan [D")</f>
        <v>Sen. Cheryl Kagan [D</v>
      </c>
      <c r="H170" s="6">
        <f t="shared" si="23"/>
        <v>0</v>
      </c>
      <c r="I170" s="5">
        <v>1.0</v>
      </c>
      <c r="J170" s="5">
        <v>0.0</v>
      </c>
      <c r="K170" s="5">
        <v>0.0</v>
      </c>
      <c r="L170" s="6">
        <f t="shared" si="12"/>
        <v>0</v>
      </c>
      <c r="M170" s="5">
        <v>1.0</v>
      </c>
      <c r="N170" s="5">
        <v>0.0</v>
      </c>
      <c r="O170" s="5">
        <v>0.0</v>
      </c>
      <c r="P170" s="5">
        <v>0.0</v>
      </c>
      <c r="Q170" s="5">
        <v>0.0</v>
      </c>
      <c r="R170" s="5">
        <v>0.0</v>
      </c>
      <c r="S170" s="5">
        <v>0.0</v>
      </c>
      <c r="T170" s="6">
        <f t="shared" si="13"/>
        <v>0</v>
      </c>
      <c r="U170" s="5">
        <f t="shared" si="46"/>
        <v>0</v>
      </c>
      <c r="V170" s="5">
        <f t="shared" si="47"/>
        <v>0</v>
      </c>
      <c r="W170" s="5">
        <f t="shared" si="48"/>
        <v>0</v>
      </c>
      <c r="X170" s="6">
        <f t="shared" si="17"/>
        <v>0</v>
      </c>
    </row>
    <row r="171">
      <c r="A171" s="8" t="s">
        <v>203</v>
      </c>
      <c r="B171" s="8">
        <v>2016.0</v>
      </c>
      <c r="C171" s="8" t="s">
        <v>39</v>
      </c>
      <c r="D171" s="10" t="s">
        <v>369</v>
      </c>
      <c r="E171" s="8" t="s">
        <v>41</v>
      </c>
      <c r="F171" s="5" t="s">
        <v>370</v>
      </c>
      <c r="G171" s="5" t="str">
        <f>IFERROR(__xludf.DUMMYFUNCTION("""COMPUTED_VALUE"""),"Sen. Michelle Kidani [D], Sen. Rosalyn Baker [D], Sen. Suzanne Chun Oakland [D], Sen. Josh Green [D], Sen. Lorraine Inouye [D], Sen. Maile Shimabukuro [D], Sen. Jill Tokuda [D], Sen. William Espero [D], Sen. Les Ihara [D]")</f>
        <v>Sen. Michelle Kidani [D], Sen. Rosalyn Baker [D], Sen. Suzanne Chun Oakland [D], Sen. Josh Green [D], Sen. Lorraine Inouye [D], Sen. Maile Shimabukuro [D], Sen. Jill Tokuda [D], Sen. William Espero [D], Sen. Les Ihara [D]</v>
      </c>
      <c r="H171" s="6">
        <f t="shared" si="23"/>
        <v>9</v>
      </c>
      <c r="I171" s="5">
        <v>6.0</v>
      </c>
      <c r="J171" s="5">
        <v>3.0</v>
      </c>
      <c r="K171" s="5">
        <v>0.0</v>
      </c>
      <c r="L171" s="6">
        <f t="shared" si="12"/>
        <v>0.6666666667</v>
      </c>
      <c r="M171" s="5">
        <v>2.0</v>
      </c>
      <c r="N171" s="5">
        <v>0.0</v>
      </c>
      <c r="O171" s="5">
        <v>0.0</v>
      </c>
      <c r="P171" s="5">
        <v>6.0</v>
      </c>
      <c r="Q171" s="5">
        <v>0.0</v>
      </c>
      <c r="R171" s="5">
        <v>1.0</v>
      </c>
      <c r="S171" s="5">
        <v>0.0</v>
      </c>
      <c r="T171" s="6">
        <f t="shared" si="13"/>
        <v>0.7777777778</v>
      </c>
      <c r="U171" s="5">
        <f t="shared" si="46"/>
        <v>9</v>
      </c>
      <c r="V171" s="5">
        <f t="shared" si="47"/>
        <v>0</v>
      </c>
      <c r="W171" s="5">
        <f t="shared" si="48"/>
        <v>0</v>
      </c>
      <c r="X171" s="6">
        <f t="shared" si="17"/>
        <v>1</v>
      </c>
    </row>
    <row r="172">
      <c r="A172" s="8" t="s">
        <v>72</v>
      </c>
      <c r="B172" s="8">
        <v>2016.0</v>
      </c>
      <c r="C172" s="8" t="s">
        <v>39</v>
      </c>
      <c r="D172" s="10" t="s">
        <v>371</v>
      </c>
      <c r="E172" s="8" t="s">
        <v>41</v>
      </c>
      <c r="F172" s="5" t="s">
        <v>372</v>
      </c>
      <c r="G172" s="5" t="str">
        <f>IFERROR(__xludf.DUMMYFUNCTION("""COMPUTED_VALUE"""),"Rep. Elaine Nekritz [D], Rep. Litesa Wallace [D], Rep. Silvana Tabares [D], Sen. Sara Feigenholtz [D], Rep. Martin Moylan [D], Rep. Robyn Gabel [D], Rep. Jaime Andrade [D], Rep. Carol Ammons [D], Rep. Kelly Cassidy [D], Rep. Emanuel Welch [D], Sen. Laura "&amp;"Fine [D], Sen. Robert Martwick [D], Rep. William Davis [D], Rep. Camille Lilly [D], Rep. Will Guzzardi [D], Rep. Cynthia Soto [D], Rep. Elizabeth Hernandez [D], Rep. Anna Moeller [D], Rep. Christian Mitchell [D], Rep. Rita Mayfield [D], Rep. Scott Drury ["&amp;"D], Rep. Ann Williams [D], Rep. Linda LaVia [D], Rep. Natalie Manley [D], Rep. Daniel Burke [D], Rep. Luis Arroyo [D], Rep. Gregory Harris [D], Rep. Sam Yingling [D], Rep. Michelle Mussman [D], Rep. Sonya Harper [D], Rep. Carol Sente [D], Rep. Emily McAse"&amp;"y [D], Sen. Toi Hutchinson [D], Sen. Kimberly Lightford [D], Sen. Heather Steans [D], Sen. Jacqueline Collins [D], Sen. Melinda Bush [D], Sen. Laura Murphy [D], Sen. Patricia Van Pelt [D], Sen. Julie Morrison [D], Sen. Linda Holmes [D], Sen. Don Harmon [D"&amp;"], Sen. Daniel Biss [D], Sen. Iris Martinez [D], Sen. Michael Hastings [D], Sen. Emil Jones [D], Sen. Mattie Hunter [D], Sen. William Delgado [D], Sen. Martin Sandoval [D]")</f>
        <v>Rep. Elaine Nekritz [D], Rep. Litesa Wallace [D], Rep. Silvana Tabares [D], Sen. Sara Feigenholtz [D], Rep. Martin Moylan [D], Rep. Robyn Gabel [D], Rep. Jaime Andrade [D], Rep. Carol Ammons [D], Rep. Kelly Cassidy [D], Rep. Emanuel Welch [D], Sen. Laura Fine [D], Sen. Robert Martwick [D], Rep. William Davis [D], Rep. Camille Lilly [D], Rep. Will Guzzardi [D], Rep. Cynthia Soto [D], Rep. Elizabeth Hernandez [D], Rep. Anna Moeller [D], Rep. Christian Mitchell [D], Rep. Rita Mayfield [D], Rep. Scott Drury [D], Rep. Ann Williams [D], Rep. Linda LaVia [D], Rep. Natalie Manley [D], Rep. Daniel Burke [D], Rep. Luis Arroyo [D], Rep. Gregory Harris [D], Rep. Sam Yingling [D], Rep. Michelle Mussman [D], Rep. Sonya Harper [D], Rep. Carol Sente [D], Rep. Emily McAsey [D], Sen. Toi Hutchinson [D], Sen. Kimberly Lightford [D], Sen. Heather Steans [D], Sen. Jacqueline Collins [D], Sen. Melinda Bush [D], Sen. Laura Murphy [D], Sen. Patricia Van Pelt [D], Sen. Julie Morrison [D], Sen. Linda Holmes [D], Sen. Don Harmon [D], Sen. Daniel Biss [D], Sen. Iris Martinez [D], Sen. Michael Hastings [D], Sen. Emil Jones [D], Sen. Mattie Hunter [D], Sen. William Delgado [D], Sen. Martin Sandoval [D]</v>
      </c>
      <c r="H172" s="6">
        <f t="shared" si="23"/>
        <v>49</v>
      </c>
      <c r="I172" s="5">
        <v>32.0</v>
      </c>
      <c r="J172" s="5">
        <v>17.0</v>
      </c>
      <c r="K172" s="5">
        <v>0.0</v>
      </c>
      <c r="L172" s="6">
        <f t="shared" si="12"/>
        <v>0.6530612245</v>
      </c>
      <c r="M172" s="5">
        <v>26.0</v>
      </c>
      <c r="N172" s="5">
        <v>14.0</v>
      </c>
      <c r="O172" s="5">
        <v>9.0</v>
      </c>
      <c r="P172" s="5">
        <v>0.0</v>
      </c>
      <c r="Q172" s="5">
        <v>0.0</v>
      </c>
      <c r="R172" s="5">
        <v>0.0</v>
      </c>
      <c r="S172" s="5">
        <v>0.0</v>
      </c>
      <c r="T172" s="6">
        <f t="shared" si="13"/>
        <v>0.4693877551</v>
      </c>
      <c r="U172" s="5">
        <f t="shared" si="46"/>
        <v>49</v>
      </c>
      <c r="V172" s="5">
        <f t="shared" si="47"/>
        <v>0</v>
      </c>
      <c r="W172" s="5">
        <f t="shared" si="48"/>
        <v>0</v>
      </c>
      <c r="X172" s="6">
        <f t="shared" si="17"/>
        <v>1</v>
      </c>
    </row>
    <row r="173">
      <c r="A173" s="3" t="s">
        <v>114</v>
      </c>
      <c r="B173" s="3">
        <v>2016.0</v>
      </c>
      <c r="C173" s="3" t="s">
        <v>87</v>
      </c>
      <c r="D173" s="4" t="s">
        <v>373</v>
      </c>
      <c r="E173" s="3" t="s">
        <v>89</v>
      </c>
      <c r="F173" s="5" t="s">
        <v>374</v>
      </c>
      <c r="G173" s="5" t="str">
        <f>IFERROR(__xludf.DUMMYFUNCTION("""COMPUTED_VALUE"""),"Sen. Delores Kelley [D], Sen. Richard Madaleno [D], Sen. John Astle [D], Sen. Joanne Benson [D], Sen. James Brochin [D], Sen. Joan Conway [D], Sen. Ulysses Currie [D], Sen. Brian Feldman [D], Sen. William Ferguson [D], Sen. Lisa Gladden [D], Sen. Guy Guzz"&amp;"one [D], Sen. Cheryl Kagan [D], Sen. Nancy King [D], Sen. Katherine Klausmeier [D], Sen. Susan Lee [D], Sen. Roger Manno [D], Sen. Nathaniel McFadden [D], Sen. Shirley Nathan-Pulliam [D], Sen. Paul Pinsky [D], Sen. Catherine Pugh [D], Sen. Victor Ramirez "&amp;"[D], Sen. Jamin Raskin [D], Sen. Ronald Young [D], Sen. Craig Zucker [D]")</f>
        <v>Sen. Delores Kelley [D], Sen. Richard Madaleno [D], Sen. John Astle [D], Sen. Joanne Benson [D], Sen. James Brochin [D], Sen. Joan Conway [D], Sen. Ulysses Currie [D], Sen. Brian Feldman [D], Sen. William Ferguson [D], Sen. Lisa Gladden [D], Sen. Guy Guzzone [D], Sen. Cheryl Kagan [D], Sen. Nancy King [D], Sen. Katherine Klausmeier [D], Sen. Susan Lee [D], Sen. Roger Manno [D], Sen. Nathaniel McFadden [D], Sen. Shirley Nathan-Pulliam [D], Sen. Paul Pinsky [D], Sen. Catherine Pugh [D], Sen. Victor Ramirez [D], Sen. Jamin Raskin [D], Sen. Ronald Young [D], Sen. Craig Zucker [D]</v>
      </c>
      <c r="H173" s="6">
        <f t="shared" si="23"/>
        <v>24</v>
      </c>
      <c r="I173" s="5">
        <v>10.0</v>
      </c>
      <c r="J173" s="5">
        <v>14.0</v>
      </c>
      <c r="K173" s="5">
        <v>0.0</v>
      </c>
      <c r="L173" s="6">
        <f t="shared" si="12"/>
        <v>0.4166666667</v>
      </c>
      <c r="M173" s="5">
        <v>14.0</v>
      </c>
      <c r="N173" s="5">
        <v>8.0</v>
      </c>
      <c r="O173" s="5">
        <v>1.0</v>
      </c>
      <c r="P173" s="5">
        <v>1.0</v>
      </c>
      <c r="Q173" s="5">
        <v>0.0</v>
      </c>
      <c r="R173" s="5">
        <v>0.0</v>
      </c>
      <c r="S173" s="5">
        <v>0.0</v>
      </c>
      <c r="T173" s="6">
        <f t="shared" si="13"/>
        <v>0.4166666667</v>
      </c>
      <c r="U173" s="5">
        <f t="shared" si="46"/>
        <v>24</v>
      </c>
      <c r="V173" s="5">
        <f t="shared" si="47"/>
        <v>0</v>
      </c>
      <c r="W173" s="5">
        <f t="shared" si="48"/>
        <v>0</v>
      </c>
      <c r="X173" s="6">
        <f t="shared" si="17"/>
        <v>1</v>
      </c>
    </row>
    <row r="174">
      <c r="A174" s="3" t="s">
        <v>114</v>
      </c>
      <c r="B174" s="3">
        <v>2016.0</v>
      </c>
      <c r="C174" s="3" t="s">
        <v>87</v>
      </c>
      <c r="D174" s="4" t="s">
        <v>375</v>
      </c>
      <c r="E174" s="3" t="s">
        <v>89</v>
      </c>
      <c r="F174" s="5" t="s">
        <v>376</v>
      </c>
      <c r="G174" s="5" t="str">
        <f>IFERROR(__xludf.DUMMYFUNCTION("""COMPUTED_VALUE"""),"Sen. Ariana Kelly [D], Del. Curtis Anderson [D], Del. Angela Angel [D], Del. Vanessa Atterbeary [D], Del. Charles Barkley [D], Del. Ben Barnes [D], Del. Erek Barron [D], Del. Kumar Barve [D], Del. Talmadge Branch [D], Sen. Benjamin Brooks [D], Del. Michae"&amp;"l Busch [D], Del. Alfred Carr [D], Del. Luke Clippinger [D], Del. Bonnie Cullison [D], Del. Dereck Davis [D], Del. Kathleen Dumais [D], Del. Eric Ebersole [D], Del. Diana Fennell [D], Del. David Fraser-hidalgo [D], Del. William Frick [D], Del. Barbara Fru"&amp;"sh [D], Del. Tawanna Gaines [D], Del. James Gilchrist [D], Del. Cheryl Glenn [D], Del. Ana Gutierrez [D], Sen. Shelly Hettleman [D], Del. Terri Hill [D], Del. Sheila Hixson [D], Del. Marvin Holmes [D], Sen. Michael Jackson [D], Del. Adrienne Jones [D], De"&amp;"l. Anne Kaiser [D], Del. Marc Korman [D], Sen. Benjamin Kramer [D], Del. Carol Krimm [D], Del. Stephen Lafferty [D], Sen. Clarence Lam [D], Del. Brooke Lierman [D], Del. Mary Ann Lisanti [D], Del. Eric Luedtke [D], Sen. Cory McCray [D], Del. Maggie McInto"&amp;"sh [D], Del. Aruna Miller [D], Del. David Moon [D], Del. Marice Morales [D], Del. Dan Morhaim [D], Sen. Nathaniel Oaks [D], Del. Edith Patterson [D], Del. Joseline Pena-Melnyk [D], Del. Shane Pendergrass [D], Del. Andrew Platt [D], Del. Kirill Reznik [D],"&amp;" Sen. Barbara Robinson [D], Del. Shane Robinson [D], Del. Samuel Rosenberg [D], Del. Sheree Sample-Hughes [D], Del. Carlos Sanchez [D], Sen. William Smith [D], Del. James Tarlau [D], Del. Frank Turner [D], Del. Kriselda Valderrama [D], Del. Joseph Vallari"&amp;"o [D], Del. Michael Vaughn [D], Sen. Jeff Waldstreicher [D], Del. Jay Walker [D], Sen. Alonzo Washington [D], Sen. Mary Washington [D], Sen. Karen Lewis Young [D], Del. Pat Young [D], Del. Peter Hammen [D], Del. Eric Bromwell [D],")</f>
        <v>Sen. Ariana Kelly [D], Del. Curtis Anderson [D], Del. Angela Angel [D], Del. Vanessa Atterbeary [D], Del. Charles Barkley [D], Del. Ben Barnes [D], Del. Erek Barron [D], Del. Kumar Barve [D], Del. Talmadge Branch [D], Sen. Benjamin Brooks [D], Del. Michael Busch [D], Del. Alfred Carr [D], Del. Luke Clippinger [D], Del. Bonnie Cullison [D], Del. Dereck Davis [D], Del. Kathleen Dumais [D], Del. Eric Ebersole [D], Del. Diana Fennell [D], Del. David Fraser-hidalgo [D], Del. William Frick [D], Del. Barbara Frush [D], Del. Tawanna Gaines [D], Del. James Gilchrist [D], Del. Cheryl Glenn [D], Del. Ana Gutierrez [D], Sen. Shelly Hettleman [D], Del. Terri Hill [D], Del. Sheila Hixson [D], Del. Marvin Holmes [D], Sen. Michael Jackson [D], Del. Adrienne Jones [D], Del. Anne Kaiser [D], Del. Marc Korman [D], Sen. Benjamin Kramer [D], Del. Carol Krimm [D], Del. Stephen Lafferty [D], Sen. Clarence Lam [D], Del. Brooke Lierman [D], Del. Mary Ann Lisanti [D], Del. Eric Luedtke [D], Sen. Cory McCray [D], Del. Maggie McIntosh [D], Del. Aruna Miller [D], Del. David Moon [D], Del. Marice Morales [D], Del. Dan Morhaim [D], Sen. Nathaniel Oaks [D], Del. Edith Patterson [D], Del. Joseline Pena-Melnyk [D], Del. Shane Pendergrass [D], Del. Andrew Platt [D], Del. Kirill Reznik [D], Sen. Barbara Robinson [D], Del. Shane Robinson [D], Del. Samuel Rosenberg [D], Del. Sheree Sample-Hughes [D], Del. Carlos Sanchez [D], Sen. William Smith [D], Del. James Tarlau [D], Del. Frank Turner [D], Del. Kriselda Valderrama [D], Del. Joseph Vallario [D], Del. Michael Vaughn [D], Sen. Jeff Waldstreicher [D], Del. Jay Walker [D], Sen. Alonzo Washington [D], Sen. Mary Washington [D], Sen. Karen Lewis Young [D], Del. Pat Young [D], Del. Peter Hammen [D], Del. Eric Bromwell [D],</v>
      </c>
      <c r="H174" s="6">
        <f t="shared" si="23"/>
        <v>71</v>
      </c>
      <c r="I174" s="5">
        <v>27.0</v>
      </c>
      <c r="J174" s="5">
        <v>44.0</v>
      </c>
      <c r="K174" s="5">
        <v>0.0</v>
      </c>
      <c r="L174" s="6">
        <f t="shared" si="12"/>
        <v>0.3802816901</v>
      </c>
      <c r="M174" s="5">
        <v>41.0</v>
      </c>
      <c r="N174" s="5">
        <v>24.0</v>
      </c>
      <c r="O174" s="5">
        <v>2.0</v>
      </c>
      <c r="P174" s="5">
        <v>3.0</v>
      </c>
      <c r="Q174" s="5">
        <v>0.0</v>
      </c>
      <c r="R174" s="5">
        <v>0.0</v>
      </c>
      <c r="S174" s="5">
        <v>1.0</v>
      </c>
      <c r="T174" s="6">
        <f t="shared" si="13"/>
        <v>0.4225352113</v>
      </c>
      <c r="U174" s="5">
        <f t="shared" si="46"/>
        <v>71</v>
      </c>
      <c r="V174" s="5">
        <f t="shared" si="47"/>
        <v>0</v>
      </c>
      <c r="W174" s="5">
        <f t="shared" si="48"/>
        <v>0</v>
      </c>
      <c r="X174" s="6">
        <f t="shared" si="17"/>
        <v>1</v>
      </c>
    </row>
    <row r="175">
      <c r="A175" s="3" t="s">
        <v>72</v>
      </c>
      <c r="B175" s="3">
        <v>2016.0</v>
      </c>
      <c r="C175" s="3" t="s">
        <v>129</v>
      </c>
      <c r="D175" s="7" t="s">
        <v>371</v>
      </c>
      <c r="E175" s="3" t="s">
        <v>130</v>
      </c>
      <c r="F175" s="5" t="s">
        <v>372</v>
      </c>
      <c r="G175" s="5" t="str">
        <f>IFERROR(__xludf.DUMMYFUNCTION("""COMPUTED_VALUE"""),"Rep. Elaine Nekritz [D], Rep. Litesa Wallace [D], Rep. Silvana Tabares [D], Sen. Sara Feigenholtz [D], Rep. Martin Moylan [D], Rep. Robyn Gabel [D], Rep. Jaime Andrade [D], Rep. Carol Ammons [D], Rep. Kelly Cassidy [D], Rep. Emanuel Welch [D], Sen. Laura "&amp;"Fine [D], Sen. Robert Martwick [D], Rep. William Davis [D], Rep. Camille Lilly [D], Rep. Will Guzzardi [D], Rep. Cynthia Soto [D], Rep. Elizabeth Hernandez [D], Rep. Anna Moeller [D], Rep. Christian Mitchell [D], Rep. Rita Mayfield [D], Rep. Scott Drury ["&amp;"D], Rep. Ann Williams [D], Rep. Linda LaVia [D], Rep. Natalie Manley [D], Rep. Daniel Burke [D], Rep. Luis Arroyo [D], Rep. Gregory Harris [D], Rep. Sam Yingling [D], Rep. Michelle Mussman [D], Rep. Sonya Harper [D], Rep. Carol Sente [D], Rep. Emily McAse"&amp;"y [D], Sen. Toi Hutchinson [D], Sen. Kimberly Lightford [D], Sen. Heather Steans [D], Sen. Jacqueline Collins [D], Sen. Melinda Bush [D], Sen. Laura Murphy [D], Sen. Patricia Van Pelt [D], Sen. Julie Morrison [D], Sen. Linda Holmes [D], Sen. Don Harmon [D"&amp;"], Sen. Daniel Biss [D], Sen. Iris Martinez [D], Sen. Michael Hastings [D], Sen. Emil Jones [D], Sen. Mattie Hunter [D], Sen. William Delgado [D], Sen. Martin Sandoval [D]")</f>
        <v>Rep. Elaine Nekritz [D], Rep. Litesa Wallace [D], Rep. Silvana Tabares [D], Sen. Sara Feigenholtz [D], Rep. Martin Moylan [D], Rep. Robyn Gabel [D], Rep. Jaime Andrade [D], Rep. Carol Ammons [D], Rep. Kelly Cassidy [D], Rep. Emanuel Welch [D], Sen. Laura Fine [D], Sen. Robert Martwick [D], Rep. William Davis [D], Rep. Camille Lilly [D], Rep. Will Guzzardi [D], Rep. Cynthia Soto [D], Rep. Elizabeth Hernandez [D], Rep. Anna Moeller [D], Rep. Christian Mitchell [D], Rep. Rita Mayfield [D], Rep. Scott Drury [D], Rep. Ann Williams [D], Rep. Linda LaVia [D], Rep. Natalie Manley [D], Rep. Daniel Burke [D], Rep. Luis Arroyo [D], Rep. Gregory Harris [D], Rep. Sam Yingling [D], Rep. Michelle Mussman [D], Rep. Sonya Harper [D], Rep. Carol Sente [D], Rep. Emily McAsey [D], Sen. Toi Hutchinson [D], Sen. Kimberly Lightford [D], Sen. Heather Steans [D], Sen. Jacqueline Collins [D], Sen. Melinda Bush [D], Sen. Laura Murphy [D], Sen. Patricia Van Pelt [D], Sen. Julie Morrison [D], Sen. Linda Holmes [D], Sen. Don Harmon [D], Sen. Daniel Biss [D], Sen. Iris Martinez [D], Sen. Michael Hastings [D], Sen. Emil Jones [D], Sen. Mattie Hunter [D], Sen. William Delgado [D], Sen. Martin Sandoval [D]</v>
      </c>
      <c r="H175" s="6">
        <f t="shared" si="23"/>
        <v>49</v>
      </c>
      <c r="I175" s="5">
        <v>32.0</v>
      </c>
      <c r="J175" s="5">
        <v>17.0</v>
      </c>
      <c r="K175" s="5">
        <v>0.0</v>
      </c>
      <c r="L175" s="6">
        <f t="shared" si="12"/>
        <v>0.6530612245</v>
      </c>
      <c r="M175" s="5">
        <v>26.0</v>
      </c>
      <c r="N175" s="5">
        <v>14.0</v>
      </c>
      <c r="O175" s="5">
        <v>9.0</v>
      </c>
      <c r="P175" s="5">
        <v>0.0</v>
      </c>
      <c r="Q175" s="5">
        <v>0.0</v>
      </c>
      <c r="R175" s="5">
        <v>0.0</v>
      </c>
      <c r="S175" s="5">
        <v>0.0</v>
      </c>
      <c r="T175" s="6">
        <f t="shared" si="13"/>
        <v>0.4693877551</v>
      </c>
      <c r="U175" s="5">
        <f t="shared" si="46"/>
        <v>49</v>
      </c>
      <c r="V175" s="5">
        <f t="shared" si="47"/>
        <v>0</v>
      </c>
      <c r="W175" s="5">
        <f t="shared" si="48"/>
        <v>0</v>
      </c>
      <c r="X175" s="6">
        <f t="shared" si="17"/>
        <v>1</v>
      </c>
    </row>
    <row r="176">
      <c r="A176" s="3" t="s">
        <v>114</v>
      </c>
      <c r="B176" s="3">
        <v>2016.0</v>
      </c>
      <c r="C176" s="3" t="s">
        <v>90</v>
      </c>
      <c r="D176" s="4" t="s">
        <v>373</v>
      </c>
      <c r="E176" s="3" t="s">
        <v>127</v>
      </c>
      <c r="F176" s="5" t="s">
        <v>374</v>
      </c>
      <c r="G176" s="5" t="str">
        <f>IFERROR(__xludf.DUMMYFUNCTION("""COMPUTED_VALUE"""),"Sen. Delores Kelley [D], Sen. Richard Madaleno [D], Sen. John Astle [D], Sen. Joanne Benson [D], Sen. James Brochin [D], Sen. Joan Conway [D], Sen. Ulysses Currie [D], Sen. Brian Feldman [D], Sen. William Ferguson [D], Sen. Lisa Gladden [D], Sen. Guy Guzz"&amp;"one [D], Sen. Cheryl Kagan [D], Sen. Nancy King [D], Sen. Katherine Klausmeier [D], Sen. Susan Lee [D], Sen. Roger Manno [D], Sen. Nathaniel McFadden [D], Sen. Shirley Nathan-Pulliam [D], Sen. Paul Pinsky [D], Sen. Catherine Pugh [D], Sen. Victor Ramirez "&amp;"[D], Sen. Jamin Raskin [D], Sen. Ronald Young [D], Sen. Craig Zucker [D]")</f>
        <v>Sen. Delores Kelley [D], Sen. Richard Madaleno [D], Sen. John Astle [D], Sen. Joanne Benson [D], Sen. James Brochin [D], Sen. Joan Conway [D], Sen. Ulysses Currie [D], Sen. Brian Feldman [D], Sen. William Ferguson [D], Sen. Lisa Gladden [D], Sen. Guy Guzzone [D], Sen. Cheryl Kagan [D], Sen. Nancy King [D], Sen. Katherine Klausmeier [D], Sen. Susan Lee [D], Sen. Roger Manno [D], Sen. Nathaniel McFadden [D], Sen. Shirley Nathan-Pulliam [D], Sen. Paul Pinsky [D], Sen. Catherine Pugh [D], Sen. Victor Ramirez [D], Sen. Jamin Raskin [D], Sen. Ronald Young [D], Sen. Craig Zucker [D]</v>
      </c>
      <c r="H176" s="6">
        <f t="shared" si="23"/>
        <v>24</v>
      </c>
      <c r="I176" s="5">
        <v>10.0</v>
      </c>
      <c r="J176" s="5">
        <v>14.0</v>
      </c>
      <c r="K176" s="5">
        <v>0.0</v>
      </c>
      <c r="L176" s="6">
        <f t="shared" si="12"/>
        <v>0.4166666667</v>
      </c>
      <c r="M176" s="5">
        <v>14.0</v>
      </c>
      <c r="N176" s="5">
        <v>8.0</v>
      </c>
      <c r="O176" s="5">
        <v>1.0</v>
      </c>
      <c r="P176" s="5">
        <v>1.0</v>
      </c>
      <c r="Q176" s="5">
        <v>0.0</v>
      </c>
      <c r="R176" s="5">
        <v>0.0</v>
      </c>
      <c r="S176" s="5">
        <v>0.0</v>
      </c>
      <c r="T176" s="6">
        <f t="shared" si="13"/>
        <v>0.4166666667</v>
      </c>
      <c r="U176" s="5">
        <f t="shared" si="46"/>
        <v>24</v>
      </c>
      <c r="V176" s="5">
        <f t="shared" si="47"/>
        <v>0</v>
      </c>
      <c r="W176" s="5">
        <f t="shared" si="48"/>
        <v>0</v>
      </c>
      <c r="X176" s="6">
        <f t="shared" si="17"/>
        <v>1</v>
      </c>
    </row>
    <row r="177">
      <c r="A177" s="3" t="s">
        <v>138</v>
      </c>
      <c r="B177" s="3">
        <v>2016.0</v>
      </c>
      <c r="C177" s="3" t="s">
        <v>90</v>
      </c>
      <c r="D177" s="4" t="s">
        <v>365</v>
      </c>
      <c r="E177" s="3" t="s">
        <v>127</v>
      </c>
      <c r="F177" s="5" t="s">
        <v>377</v>
      </c>
      <c r="G177" s="5" t="str">
        <f>IFERROR(__xludf.DUMMYFUNCTION("""COMPUTED_VALUE"""),"Rep. Ann Pugh [D], Rep. Timothy Briglin [D], Rep. Mollie Burke [D], Rep. Sarah Buxton [D], Rep. Sarah Copeland-Hanzas [D], Rep. Helen Head [D], Rep. Mary Hooper [D], Rep. Patricia Komline [R], Rep. Jill Krowinski [D], Rep. Michael Mrowicki [D], Sen. Chris"&amp;"topher Pearson [D], Rep. Laura Sibilia [I], Rep. Thomas Stevens [D], Rep. George Till [D], Rep. Tristan Toleno [D]")</f>
        <v>Rep. Ann Pugh [D], Rep. Timothy Briglin [D], Rep. Mollie Burke [D], Rep. Sarah Buxton [D], Rep. Sarah Copeland-Hanzas [D], Rep. Helen Head [D], Rep. Mary Hooper [D], Rep. Patricia Komline [R], Rep. Jill Krowinski [D], Rep. Michael Mrowicki [D], Sen. Christopher Pearson [D], Rep. Laura Sibilia [I], Rep. Thomas Stevens [D], Rep. George Till [D], Rep. Tristan Toleno [D]</v>
      </c>
      <c r="H177" s="6">
        <f t="shared" si="23"/>
        <v>15</v>
      </c>
      <c r="I177" s="5">
        <v>9.0</v>
      </c>
      <c r="J177" s="5">
        <v>5.0</v>
      </c>
      <c r="K177" s="5">
        <v>0.0</v>
      </c>
      <c r="L177" s="6">
        <f t="shared" si="12"/>
        <v>0.6</v>
      </c>
      <c r="M177" s="5">
        <v>15.0</v>
      </c>
      <c r="N177" s="5">
        <v>0.0</v>
      </c>
      <c r="O177" s="5">
        <v>0.0</v>
      </c>
      <c r="P177" s="5">
        <v>0.0</v>
      </c>
      <c r="Q177" s="5">
        <v>0.0</v>
      </c>
      <c r="R177" s="5">
        <v>0.0</v>
      </c>
      <c r="S177" s="5">
        <v>0.0</v>
      </c>
      <c r="T177" s="6">
        <f t="shared" si="13"/>
        <v>0</v>
      </c>
      <c r="U177" s="7">
        <f t="shared" si="46"/>
        <v>13</v>
      </c>
      <c r="V177" s="7">
        <f t="shared" si="47"/>
        <v>1</v>
      </c>
      <c r="W177" s="7">
        <f t="shared" si="48"/>
        <v>1</v>
      </c>
      <c r="X177" s="6">
        <f t="shared" si="17"/>
        <v>0.8666666667</v>
      </c>
    </row>
    <row r="178">
      <c r="A178" s="3" t="s">
        <v>56</v>
      </c>
      <c r="B178" s="3">
        <v>2016.0</v>
      </c>
      <c r="C178" s="3" t="s">
        <v>95</v>
      </c>
      <c r="D178" s="4" t="s">
        <v>378</v>
      </c>
      <c r="E178" s="3" t="s">
        <v>379</v>
      </c>
      <c r="F178" s="5" t="s">
        <v>380</v>
      </c>
      <c r="G178" s="5" t="str">
        <f>IFERROR(__xludf.DUMMYFUNCTION("""COMPUTED_VALUE"""),"Sen. Fran Pavley [D], Sen. Bob Hertzberg [D], Sen. Toni Atkins [D], Asm. Jimmy Gomez [D], Asm. Lorena Gonzalez Fletcher [D], Sen. Benjamin Allen [D], Sen. Jim Beall [D], Sen. Marty Block [D], Sen. Isadore Hall [D], Sen. Jerry Hill [D], Sen. Hannah-Beth Ja"&amp;"ckson [D], Sen. Connie Leyva [D], Sen. Bob Wieckowski [D], Sen. Lois Wolk [D], Asm. Susan Bonilla [D], Asm. Autumn Burke [D], Asm. Nora Campos [D], Asm. David Chiu [D], Asm. Matt Dababneh [D], Sen. Bill Dodd [D], Sen. Susan Eggman [D], Asm. Cristina Garci"&amp;"a [D], Asm. Mike Gipson [D], Asm. Jacqui Irwin [D], Asm. Marc Levine [D], Asm. Kevin McCarty [D], Asm. Mark Stone [D], Asm. Shirley Weber [D], Asm. Das Williams [D]")</f>
        <v>Sen. Fran Pavley [D], Sen. Bob Hertzberg [D], Sen. Toni Atkins [D], Asm. Jimmy Gomez [D], Asm. Lorena Gonzalez Fletcher [D], Sen. Benjamin Allen [D], Sen. Jim Beall [D], Sen. Marty Block [D], Sen. Isadore Hall [D], Sen. Jerry Hill [D], Sen. Hannah-Beth Jackson [D], Sen. Connie Leyva [D], Sen. Bob Wieckowski [D], Sen. Lois Wolk [D], Asm. Susan Bonilla [D], Asm. Autumn Burke [D], Asm. Nora Campos [D], Asm. David Chiu [D], Asm. Matt Dababneh [D], Sen. Bill Dodd [D], Sen. Susan Eggman [D], Asm. Cristina Garcia [D], Asm. Mike Gipson [D], Asm. Jacqui Irwin [D], Asm. Marc Levine [D], Asm. Kevin McCarty [D], Asm. Mark Stone [D], Asm. Shirley Weber [D], Asm. Das Williams [D]</v>
      </c>
      <c r="H178" s="6">
        <f t="shared" si="23"/>
        <v>29</v>
      </c>
      <c r="I178" s="5">
        <v>13.0</v>
      </c>
      <c r="J178" s="5">
        <v>16.0</v>
      </c>
      <c r="K178" s="5">
        <v>0.0</v>
      </c>
      <c r="L178" s="6">
        <f t="shared" si="12"/>
        <v>0.4482758621</v>
      </c>
      <c r="M178" s="5">
        <v>17.0</v>
      </c>
      <c r="N178" s="5">
        <v>4.0</v>
      </c>
      <c r="O178" s="5">
        <v>6.0</v>
      </c>
      <c r="P178" s="5">
        <v>2.0</v>
      </c>
      <c r="Q178" s="5">
        <v>0.0</v>
      </c>
      <c r="R178" s="5">
        <v>0.0</v>
      </c>
      <c r="S178" s="5">
        <v>0.0</v>
      </c>
      <c r="T178" s="6">
        <f t="shared" si="13"/>
        <v>0.4137931034</v>
      </c>
      <c r="U178" s="5">
        <f t="shared" si="46"/>
        <v>29</v>
      </c>
      <c r="V178" s="5">
        <f t="shared" si="47"/>
        <v>0</v>
      </c>
      <c r="W178" s="5">
        <f t="shared" si="48"/>
        <v>0</v>
      </c>
      <c r="X178" s="6">
        <f t="shared" si="17"/>
        <v>1</v>
      </c>
    </row>
    <row r="179">
      <c r="A179" s="3" t="s">
        <v>203</v>
      </c>
      <c r="B179" s="3">
        <v>2016.0</v>
      </c>
      <c r="C179" s="3" t="s">
        <v>95</v>
      </c>
      <c r="D179" s="4" t="s">
        <v>369</v>
      </c>
      <c r="E179" s="3" t="s">
        <v>99</v>
      </c>
      <c r="F179" s="5" t="s">
        <v>370</v>
      </c>
      <c r="G179" s="5" t="str">
        <f>IFERROR(__xludf.DUMMYFUNCTION("""COMPUTED_VALUE"""),"Sen. Michelle Kidani [D], Sen. Rosalyn Baker [D], Sen. Suzanne Chun Oakland [D], Sen. Josh Green [D], Sen. Lorraine Inouye [D], Sen. Maile Shimabukuro [D], Sen. Jill Tokuda [D], Sen. William Espero [D], Sen. Les Ihara [D]")</f>
        <v>Sen. Michelle Kidani [D], Sen. Rosalyn Baker [D], Sen. Suzanne Chun Oakland [D], Sen. Josh Green [D], Sen. Lorraine Inouye [D], Sen. Maile Shimabukuro [D], Sen. Jill Tokuda [D], Sen. William Espero [D], Sen. Les Ihara [D]</v>
      </c>
      <c r="H179" s="6">
        <f t="shared" si="23"/>
        <v>9</v>
      </c>
      <c r="I179" s="5">
        <v>6.0</v>
      </c>
      <c r="J179" s="5">
        <v>3.0</v>
      </c>
      <c r="K179" s="5">
        <v>0.0</v>
      </c>
      <c r="L179" s="6">
        <f t="shared" si="12"/>
        <v>0.6666666667</v>
      </c>
      <c r="M179" s="5">
        <v>2.0</v>
      </c>
      <c r="N179" s="5">
        <v>0.0</v>
      </c>
      <c r="O179" s="5">
        <v>0.0</v>
      </c>
      <c r="P179" s="5">
        <v>6.0</v>
      </c>
      <c r="Q179" s="5">
        <v>0.0</v>
      </c>
      <c r="R179" s="5">
        <v>1.0</v>
      </c>
      <c r="S179" s="5">
        <v>0.0</v>
      </c>
      <c r="T179" s="6">
        <f t="shared" si="13"/>
        <v>0.7777777778</v>
      </c>
      <c r="U179" s="5">
        <f t="shared" si="46"/>
        <v>9</v>
      </c>
      <c r="V179" s="5">
        <f t="shared" si="47"/>
        <v>0</v>
      </c>
      <c r="W179" s="5">
        <f t="shared" si="48"/>
        <v>0</v>
      </c>
      <c r="X179" s="6">
        <f t="shared" si="17"/>
        <v>1</v>
      </c>
    </row>
    <row r="180">
      <c r="A180" s="3" t="s">
        <v>138</v>
      </c>
      <c r="B180" s="3">
        <v>2016.0</v>
      </c>
      <c r="C180" s="3" t="s">
        <v>95</v>
      </c>
      <c r="D180" s="4" t="s">
        <v>365</v>
      </c>
      <c r="E180" s="3" t="s">
        <v>183</v>
      </c>
      <c r="F180" s="5" t="s">
        <v>377</v>
      </c>
      <c r="G180" s="5" t="str">
        <f>IFERROR(__xludf.DUMMYFUNCTION("""COMPUTED_VALUE"""),"Rep. Ann Pugh [D], Rep. Timothy Briglin [D], Rep. Mollie Burke [D], Rep. Sarah Buxton [D], Rep. Sarah Copeland-Hanzas [D], Rep. Helen Head [D], Rep. Mary Hooper [D], Rep. Patricia Komline [R], Rep. Jill Krowinski [D], Rep. Michael Mrowicki [D], Sen. Chris"&amp;"topher Pearson [D], Rep. Laura Sibilia [I], Rep. Thomas Stevens [D], Rep. George Till [D], Rep. Tristan Toleno [D]")</f>
        <v>Rep. Ann Pugh [D], Rep. Timothy Briglin [D], Rep. Mollie Burke [D], Rep. Sarah Buxton [D], Rep. Sarah Copeland-Hanzas [D], Rep. Helen Head [D], Rep. Mary Hooper [D], Rep. Patricia Komline [R], Rep. Jill Krowinski [D], Rep. Michael Mrowicki [D], Sen. Christopher Pearson [D], Rep. Laura Sibilia [I], Rep. Thomas Stevens [D], Rep. George Till [D], Rep. Tristan Toleno [D]</v>
      </c>
      <c r="H180" s="6">
        <f t="shared" si="23"/>
        <v>15</v>
      </c>
      <c r="I180" s="5">
        <v>9.0</v>
      </c>
      <c r="J180" s="5">
        <v>5.0</v>
      </c>
      <c r="K180" s="5">
        <v>0.0</v>
      </c>
      <c r="L180" s="6">
        <f t="shared" si="12"/>
        <v>0.6</v>
      </c>
      <c r="M180" s="5">
        <v>15.0</v>
      </c>
      <c r="N180" s="5">
        <v>0.0</v>
      </c>
      <c r="O180" s="5">
        <v>0.0</v>
      </c>
      <c r="P180" s="5">
        <v>0.0</v>
      </c>
      <c r="Q180" s="5">
        <v>0.0</v>
      </c>
      <c r="R180" s="5">
        <v>0.0</v>
      </c>
      <c r="S180" s="5">
        <v>0.0</v>
      </c>
      <c r="T180" s="6">
        <f t="shared" si="13"/>
        <v>0</v>
      </c>
      <c r="U180" s="7">
        <f t="shared" si="46"/>
        <v>13</v>
      </c>
      <c r="V180" s="7">
        <f t="shared" si="47"/>
        <v>1</v>
      </c>
      <c r="W180" s="7">
        <f t="shared" si="48"/>
        <v>1</v>
      </c>
      <c r="X180" s="6">
        <f t="shared" si="17"/>
        <v>0.8666666667</v>
      </c>
    </row>
    <row r="181">
      <c r="A181" s="3" t="s">
        <v>72</v>
      </c>
      <c r="B181" s="3">
        <v>2015.0</v>
      </c>
      <c r="C181" s="3" t="s">
        <v>197</v>
      </c>
      <c r="D181" s="4" t="s">
        <v>371</v>
      </c>
      <c r="E181" s="3" t="s">
        <v>199</v>
      </c>
      <c r="F181" s="5" t="s">
        <v>381</v>
      </c>
      <c r="G181" s="6" t="str">
        <f>IFERROR(__xludf.DUMMYFUNCTION("""COMPUTED_VALUE"""),"Rep. Elaine Nekritz [D], Rep. Litesa Wallace [D], Rep. Silvana Tabares [D], Sen. Sara Feigenholtz [D], Rep. Martin Moylan [D], Rep. Robyn Gabel [D], Rep. Jaime Andrade [D], Rep. Carol Ammons [D], Rep. Kelly Cassidy [D], Rep. Emanuel Welch [D], Sen. Laura "&amp;"Fine [D], Sen. Robert Martwick [D], Rep. William Davis [D], Rep. Camille Lilly [D], Rep. Will Guzzardi [D], Rep. Cynthia Soto [D], Rep. Elizabeth Hernandez [D], Rep. Anna Moeller [D], Rep. Christian Mitchell [D], Rep. Rita Mayfield [D], Rep. Scott Drury ["&amp;"D], Rep. Ann Williams [D], Rep. Linda LaVia [D], Rep. Natalie Manley [D], Rep. Daniel Burke [D], Rep. Luis Arroyo [D], Rep. Gregory Harris [D], Rep. Sam Yingling [D], Rep. Michelle Mussman [D], Rep. Sonya Harper [D], Rep. Carol Sente [D], Rep. Emily McAse"&amp;"y [D], Sen. Toi Hutchinson [D], Sen. Kimberly Lightford [D], Sen. Heather Steans [D], Sen. Jacqueline Collins [D], Sen. Melinda Bush [D], Sen. Laura Murphy [D], Sen. Patricia Van Pelt [D], Sen. Julie Morrison [D], Sen. Linda Holmes [D], Sen. Don Harmon [D"&amp;"], Sen. Daniel Biss [D], Sen. Iris Martinez [D], Sen. Michael Hastings [D], Sen. Emil Jones [D], Sen. Mattie Hunter [D], Sen. William Delgado [D], Sen. Martin Sandoval [D]")</f>
        <v>Rep. Elaine Nekritz [D], Rep. Litesa Wallace [D], Rep. Silvana Tabares [D], Sen. Sara Feigenholtz [D], Rep. Martin Moylan [D], Rep. Robyn Gabel [D], Rep. Jaime Andrade [D], Rep. Carol Ammons [D], Rep. Kelly Cassidy [D], Rep. Emanuel Welch [D], Sen. Laura Fine [D], Sen. Robert Martwick [D], Rep. William Davis [D], Rep. Camille Lilly [D], Rep. Will Guzzardi [D], Rep. Cynthia Soto [D], Rep. Elizabeth Hernandez [D], Rep. Anna Moeller [D], Rep. Christian Mitchell [D], Rep. Rita Mayfield [D], Rep. Scott Drury [D], Rep. Ann Williams [D], Rep. Linda LaVia [D], Rep. Natalie Manley [D], Rep. Daniel Burke [D], Rep. Luis Arroyo [D], Rep. Gregory Harris [D], Rep. Sam Yingling [D], Rep. Michelle Mussman [D], Rep. Sonya Harper [D], Rep. Carol Sente [D], Rep. Emily McAsey [D], Sen. Toi Hutchinson [D], Sen. Kimberly Lightford [D], Sen. Heather Steans [D], Sen. Jacqueline Collins [D], Sen. Melinda Bush [D], Sen. Laura Murphy [D], Sen. Patricia Van Pelt [D], Sen. Julie Morrison [D], Sen. Linda Holmes [D], Sen. Don Harmon [D], Sen. Daniel Biss [D], Sen. Iris Martinez [D], Sen. Michael Hastings [D], Sen. Emil Jones [D], Sen. Mattie Hunter [D], Sen. William Delgado [D], Sen. Martin Sandoval [D]</v>
      </c>
      <c r="H181" s="6">
        <f t="shared" si="23"/>
        <v>49</v>
      </c>
      <c r="I181" s="5">
        <v>31.0</v>
      </c>
      <c r="J181" s="5">
        <v>18.0</v>
      </c>
      <c r="K181" s="5">
        <v>0.0</v>
      </c>
      <c r="L181" s="6">
        <f t="shared" si="12"/>
        <v>0.6326530612</v>
      </c>
      <c r="M181" s="5">
        <v>26.0</v>
      </c>
      <c r="N181" s="5">
        <v>14.0</v>
      </c>
      <c r="O181" s="5">
        <v>9.0</v>
      </c>
      <c r="P181" s="5">
        <v>0.0</v>
      </c>
      <c r="Q181" s="5">
        <v>0.0</v>
      </c>
      <c r="R181" s="5">
        <v>0.0</v>
      </c>
      <c r="S181" s="5">
        <v>0.0</v>
      </c>
      <c r="T181" s="6">
        <f t="shared" si="13"/>
        <v>0.4693877551</v>
      </c>
      <c r="U181" s="5">
        <f t="shared" si="46"/>
        <v>49</v>
      </c>
      <c r="V181" s="5">
        <f t="shared" si="47"/>
        <v>0</v>
      </c>
      <c r="W181" s="5">
        <f t="shared" si="48"/>
        <v>0</v>
      </c>
      <c r="X181" s="6">
        <f t="shared" si="17"/>
        <v>1</v>
      </c>
    </row>
    <row r="182">
      <c r="A182" s="3" t="s">
        <v>382</v>
      </c>
      <c r="B182" s="3">
        <v>2015.0</v>
      </c>
      <c r="C182" s="3" t="s">
        <v>30</v>
      </c>
      <c r="D182" s="4" t="s">
        <v>383</v>
      </c>
      <c r="E182" s="3" t="s">
        <v>36</v>
      </c>
      <c r="F182" s="5" t="s">
        <v>384</v>
      </c>
      <c r="G182" s="6" t="str">
        <f>IFERROR(__xludf.DUMMYFUNCTION("""COMPUTED_VALUE"""),"Sen. Robert Mensch [R], Sen. Wayne Fontana [D], Sen. Stewart Greenleaf [R], Sen. David Argall [R], Rep. Matthew Smith [D], Sen. John Rafferty [R], Sen. Joseph Scarnati [R], Sen. Jay Costa [D], Sen. Randy Vulakovich [R], Sen. John Yudichak [R], Sen. Charle"&amp;"s McIlhinney [R], Sen. Patricia Vance [R], Sen. John Blake [D], Sen. Arthur Haywood [D], Sen. Andrew Dinniman [D], Sen. Vincent Hughes [D], Sen. Anthony Williams [D], Sen. Patrick Browne [R]")</f>
        <v>Sen. Robert Mensch [R], Sen. Wayne Fontana [D], Sen. Stewart Greenleaf [R], Sen. David Argall [R], Rep. Matthew Smith [D], Sen. John Rafferty [R], Sen. Joseph Scarnati [R], Sen. Jay Costa [D], Sen. Randy Vulakovich [R], Sen. John Yudichak [R], Sen. Charles McIlhinney [R], Sen. Patricia Vance [R], Sen. John Blake [D], Sen. Arthur Haywood [D], Sen. Andrew Dinniman [D], Sen. Vincent Hughes [D], Sen. Anthony Williams [D], Sen. Patrick Browne [R]</v>
      </c>
      <c r="H182" s="6">
        <f t="shared" si="23"/>
        <v>18</v>
      </c>
      <c r="I182" s="5">
        <v>1.0</v>
      </c>
      <c r="J182" s="5">
        <v>17.0</v>
      </c>
      <c r="K182" s="5">
        <v>0.0</v>
      </c>
      <c r="L182" s="6">
        <f t="shared" si="12"/>
        <v>0.05555555556</v>
      </c>
      <c r="M182" s="5">
        <v>15.0</v>
      </c>
      <c r="N182" s="5">
        <v>3.0</v>
      </c>
      <c r="O182" s="5">
        <v>0.0</v>
      </c>
      <c r="P182" s="5">
        <v>0.0</v>
      </c>
      <c r="Q182" s="5">
        <v>0.0</v>
      </c>
      <c r="R182" s="5">
        <v>0.0</v>
      </c>
      <c r="S182" s="5">
        <v>0.0</v>
      </c>
      <c r="T182" s="6">
        <f t="shared" si="13"/>
        <v>0.1666666667</v>
      </c>
      <c r="U182" s="7">
        <f t="shared" si="46"/>
        <v>8</v>
      </c>
      <c r="V182" s="7">
        <f t="shared" si="47"/>
        <v>10</v>
      </c>
      <c r="W182" s="7">
        <f t="shared" si="48"/>
        <v>0</v>
      </c>
      <c r="X182" s="6">
        <f t="shared" si="17"/>
        <v>0.4444444444</v>
      </c>
    </row>
    <row r="183">
      <c r="A183" s="3" t="s">
        <v>72</v>
      </c>
      <c r="B183" s="3">
        <v>2015.0</v>
      </c>
      <c r="C183" s="3" t="s">
        <v>44</v>
      </c>
      <c r="D183" s="4" t="s">
        <v>385</v>
      </c>
      <c r="E183" s="3" t="s">
        <v>74</v>
      </c>
      <c r="F183" s="5" t="s">
        <v>386</v>
      </c>
      <c r="G183" s="6" t="str">
        <f>IFERROR(__xludf.DUMMYFUNCTION("""COMPUTED_VALUE"""),"Sen. Don Harmon [D], Rep. Camille Lilly [D], Sen. Sara Feigenholtz [D], Rep. Cynthia Soto [D], Rep. Jehan Gordon-Booth [D]")</f>
        <v>Sen. Don Harmon [D], Rep. Camille Lilly [D], Sen. Sara Feigenholtz [D], Rep. Cynthia Soto [D], Rep. Jehan Gordon-Booth [D]</v>
      </c>
      <c r="H183" s="6">
        <f t="shared" si="23"/>
        <v>5</v>
      </c>
      <c r="I183" s="5">
        <v>4.0</v>
      </c>
      <c r="J183" s="5">
        <v>1.0</v>
      </c>
      <c r="K183" s="5">
        <v>0.0</v>
      </c>
      <c r="L183" s="6">
        <f t="shared" si="12"/>
        <v>0.8</v>
      </c>
      <c r="M183" s="5">
        <v>2.0</v>
      </c>
      <c r="N183" s="5">
        <v>2.0</v>
      </c>
      <c r="O183" s="5">
        <v>1.0</v>
      </c>
      <c r="P183" s="5">
        <v>0.0</v>
      </c>
      <c r="Q183" s="5">
        <v>0.0</v>
      </c>
      <c r="R183" s="5">
        <v>0.0</v>
      </c>
      <c r="S183" s="5">
        <v>0.0</v>
      </c>
      <c r="T183" s="6">
        <f t="shared" si="13"/>
        <v>0.6</v>
      </c>
      <c r="U183" s="5">
        <f t="shared" si="46"/>
        <v>5</v>
      </c>
      <c r="V183" s="5">
        <f t="shared" si="47"/>
        <v>0</v>
      </c>
      <c r="W183" s="5">
        <f t="shared" si="48"/>
        <v>0</v>
      </c>
      <c r="X183" s="6">
        <f t="shared" si="17"/>
        <v>1</v>
      </c>
    </row>
    <row r="184">
      <c r="A184" s="3" t="s">
        <v>114</v>
      </c>
      <c r="B184" s="3">
        <v>2015.0</v>
      </c>
      <c r="C184" s="3" t="s">
        <v>44</v>
      </c>
      <c r="D184" s="4" t="s">
        <v>387</v>
      </c>
      <c r="E184" s="3" t="s">
        <v>388</v>
      </c>
      <c r="F184" s="5" t="s">
        <v>389</v>
      </c>
      <c r="G184" s="6" t="str">
        <f>IFERROR(__xludf.DUMMYFUNCTION("""COMPUTED_VALUE"""),"Sen. Cheryl Kagan [D], Sen. Joan Conway [D], Sen. Ulysses Currie [D], Sen. Brian Feldman [D], Sen. William Ferguson [D], Sen. Guy Guzzone [D], Sen. Delores Kelley [D], Sen. Nancy King [D], Sen. Susan Lee [D], Sen. Richard Madaleno [D], Sen. Roger Manno [D"&amp;"], Sen. Nathaniel McFadden [D], Sen. Karen Montgomery [D], Sen. Paul Pinsky [D], Sen. Catherine Pugh [D], Sen. Jamin Raskin [D], Sen. Jim Rosapepe [D], Sen. Stephen Waugh [R], Sen. Ronald Young [D]")</f>
        <v>Sen. Cheryl Kagan [D], Sen. Joan Conway [D], Sen. Ulysses Currie [D], Sen. Brian Feldman [D], Sen. William Ferguson [D], Sen. Guy Guzzone [D], Sen. Delores Kelley [D], Sen. Nancy King [D], Sen. Susan Lee [D], Sen. Richard Madaleno [D], Sen. Roger Manno [D], Sen. Nathaniel McFadden [D], Sen. Karen Montgomery [D], Sen. Paul Pinsky [D], Sen. Catherine Pugh [D], Sen. Jamin Raskin [D], Sen. Jim Rosapepe [D], Sen. Stephen Waugh [R], Sen. Ronald Young [D]</v>
      </c>
      <c r="H184" s="6">
        <f t="shared" si="23"/>
        <v>19</v>
      </c>
      <c r="I184" s="5">
        <v>7.0</v>
      </c>
      <c r="J184" s="5">
        <v>12.0</v>
      </c>
      <c r="K184" s="5">
        <v>0.0</v>
      </c>
      <c r="L184" s="6">
        <f t="shared" si="12"/>
        <v>0.3684210526</v>
      </c>
      <c r="M184" s="5">
        <v>13.0</v>
      </c>
      <c r="N184" s="5">
        <v>5.0</v>
      </c>
      <c r="O184" s="5">
        <v>0.0</v>
      </c>
      <c r="P184" s="5">
        <v>1.0</v>
      </c>
      <c r="Q184" s="5">
        <v>0.0</v>
      </c>
      <c r="R184" s="5">
        <v>0.0</v>
      </c>
      <c r="S184" s="5">
        <v>0.0</v>
      </c>
      <c r="T184" s="6">
        <f t="shared" si="13"/>
        <v>0.3157894737</v>
      </c>
      <c r="U184" s="5">
        <f t="shared" si="46"/>
        <v>18</v>
      </c>
      <c r="V184" s="5">
        <f t="shared" si="47"/>
        <v>1</v>
      </c>
      <c r="W184" s="5">
        <f t="shared" si="48"/>
        <v>0</v>
      </c>
      <c r="X184" s="6">
        <f t="shared" si="17"/>
        <v>0.9473684211</v>
      </c>
    </row>
    <row r="185">
      <c r="A185" s="3" t="s">
        <v>72</v>
      </c>
      <c r="B185" s="3">
        <v>2015.0</v>
      </c>
      <c r="C185" s="3" t="s">
        <v>90</v>
      </c>
      <c r="D185" s="7" t="s">
        <v>371</v>
      </c>
      <c r="E185" s="3" t="s">
        <v>176</v>
      </c>
      <c r="F185" s="5" t="s">
        <v>372</v>
      </c>
      <c r="G185" s="5" t="str">
        <f>IFERROR(__xludf.DUMMYFUNCTION("""COMPUTED_VALUE"""),"Rep. Elaine Nekritz [D], Rep. Litesa Wallace [D], Rep. Silvana Tabares [D], Sen. Sara Feigenholtz [D], Rep. Martin Moylan [D], Rep. Robyn Gabel [D], Rep. Jaime Andrade [D], Rep. Carol Ammons [D], Rep. Kelly Cassidy [D], Rep. Emanuel Welch [D], Sen. Laura "&amp;"Fine [D], Sen. Robert Martwick [D], Rep. William Davis [D], Rep. Camille Lilly [D], Rep. Will Guzzardi [D], Rep. Cynthia Soto [D], Rep. Elizabeth Hernandez [D], Rep. Anna Moeller [D], Rep. Christian Mitchell [D], Rep. Rita Mayfield [D], Rep. Scott Drury ["&amp;"D], Rep. Ann Williams [D], Rep. Linda LaVia [D], Rep. Natalie Manley [D], Rep. Daniel Burke [D], Rep. Luis Arroyo [D], Rep. Gregory Harris [D], Rep. Sam Yingling [D], Rep. Michelle Mussman [D], Rep. Sonya Harper [D], Rep. Carol Sente [D], Rep. Emily McAse"&amp;"y [D], Sen. Toi Hutchinson [D], Sen. Kimberly Lightford [D], Sen. Heather Steans [D], Sen. Jacqueline Collins [D], Sen. Melinda Bush [D], Sen. Laura Murphy [D], Sen. Patricia Van Pelt [D], Sen. Julie Morrison [D], Sen. Linda Holmes [D], Sen. Don Harmon [D"&amp;"], Sen. Daniel Biss [D], Sen. Iris Martinez [D], Sen. Michael Hastings [D], Sen. Emil Jones [D], Sen. Mattie Hunter [D], Sen. William Delgado [D], Sen. Martin Sandoval [D]")</f>
        <v>Rep. Elaine Nekritz [D], Rep. Litesa Wallace [D], Rep. Silvana Tabares [D], Sen. Sara Feigenholtz [D], Rep. Martin Moylan [D], Rep. Robyn Gabel [D], Rep. Jaime Andrade [D], Rep. Carol Ammons [D], Rep. Kelly Cassidy [D], Rep. Emanuel Welch [D], Sen. Laura Fine [D], Sen. Robert Martwick [D], Rep. William Davis [D], Rep. Camille Lilly [D], Rep. Will Guzzardi [D], Rep. Cynthia Soto [D], Rep. Elizabeth Hernandez [D], Rep. Anna Moeller [D], Rep. Christian Mitchell [D], Rep. Rita Mayfield [D], Rep. Scott Drury [D], Rep. Ann Williams [D], Rep. Linda LaVia [D], Rep. Natalie Manley [D], Rep. Daniel Burke [D], Rep. Luis Arroyo [D], Rep. Gregory Harris [D], Rep. Sam Yingling [D], Rep. Michelle Mussman [D], Rep. Sonya Harper [D], Rep. Carol Sente [D], Rep. Emily McAsey [D], Sen. Toi Hutchinson [D], Sen. Kimberly Lightford [D], Sen. Heather Steans [D], Sen. Jacqueline Collins [D], Sen. Melinda Bush [D], Sen. Laura Murphy [D], Sen. Patricia Van Pelt [D], Sen. Julie Morrison [D], Sen. Linda Holmes [D], Sen. Don Harmon [D], Sen. Daniel Biss [D], Sen. Iris Martinez [D], Sen. Michael Hastings [D], Sen. Emil Jones [D], Sen. Mattie Hunter [D], Sen. William Delgado [D], Sen. Martin Sandoval [D]</v>
      </c>
      <c r="H185" s="6">
        <f t="shared" si="23"/>
        <v>49</v>
      </c>
      <c r="I185" s="5">
        <v>31.0</v>
      </c>
      <c r="J185" s="5">
        <v>18.0</v>
      </c>
      <c r="K185" s="5">
        <v>0.0</v>
      </c>
      <c r="L185" s="6">
        <f t="shared" si="12"/>
        <v>0.6326530612</v>
      </c>
      <c r="M185" s="5">
        <v>26.0</v>
      </c>
      <c r="N185" s="5">
        <v>14.0</v>
      </c>
      <c r="O185" s="5">
        <v>9.0</v>
      </c>
      <c r="P185" s="5">
        <v>0.0</v>
      </c>
      <c r="Q185" s="5">
        <v>0.0</v>
      </c>
      <c r="R185" s="5">
        <v>0.0</v>
      </c>
      <c r="S185" s="5">
        <v>0.0</v>
      </c>
      <c r="T185" s="6">
        <f t="shared" si="13"/>
        <v>0.4693877551</v>
      </c>
      <c r="U185" s="5">
        <f t="shared" si="46"/>
        <v>49</v>
      </c>
      <c r="V185" s="5">
        <f t="shared" si="47"/>
        <v>0</v>
      </c>
      <c r="W185" s="5">
        <f t="shared" si="48"/>
        <v>0</v>
      </c>
      <c r="X185" s="6">
        <f t="shared" si="17"/>
        <v>1</v>
      </c>
    </row>
    <row r="186">
      <c r="A186" s="3" t="s">
        <v>135</v>
      </c>
      <c r="B186" s="3">
        <v>2015.0</v>
      </c>
      <c r="C186" s="3" t="s">
        <v>95</v>
      </c>
      <c r="D186" s="4" t="s">
        <v>390</v>
      </c>
      <c r="E186" s="3" t="s">
        <v>183</v>
      </c>
      <c r="F186" s="5" t="s">
        <v>391</v>
      </c>
      <c r="G186" s="5" t="str">
        <f>IFERROR(__xludf.DUMMYFUNCTION("""COMPUTED_VALUE"""),"Rep. Jessica Pederson [D], Sen. Floyd Prozanski [D], Rep. Jennifer Williamson [D], Sen. Charles Riley [D], Rep. Alissa Keny-Guyer [D], Sen. Elizabeth Steiner Hayward [D], Rep. Barbara Warner [D], Sen. Alan Bates [D], Sen. Brian Boquist [I], Sen. Ginny Bur"&amp;"dick [D], Sen. Michael Dembrow [D], Sen. Ted Ferrioli [R], Sen. Sara Gelser Blouin [D], Sen. Fred Girod [R], Sen. Mark Hass [D], Sen. Tim Knopp [R], Sen. Jeff Kruse [R], Sen. Laurie Monnes Anderson [D], Rep. Jeff Barker [D], Sen. Rod Monroe [D], Rep. Phil"&amp;"ip Barnhart [D], Sen. Diane Rosenbaum [D], Rep. Brent Barton [D], Sen. William Shields [D], Rep. Deborah Boone [D], Sen. Chuck Thomsen [R], Rep. Peter Buckley [D], Sen. Jackie Winters [R], Rep. Brian Clem [D], Rep. John Davis [R], Rep. Margaret Doherty [D"&amp;"], Sen. Shemia Fagan [D], Sen. Lew Frederick [D], Rep. Joe Gallegos [D], Rep. David Gomberg [D], Sen. Chris Gorsek [D], Rep. Mitch Greenlick [D], Rep. Jodi Hack [R], Rep. Ken Helm [D], Rep. Paul Holvey [D], Rep. Val Hoyle [D], Rep. Betty Komp [D], Rep. Ti"&amp;"na Kotek [D], Rep. Ann Lininger [D], Rep. John Lively [D], Rep. Susan McLain [D], Rep. Robert Nosse [D], Rep. Carla Piluso [D], Rep. Dan Rayfield [D], Rep. Tobias Read [D], Rep. Jeff Reardon [D], Sen. Kathleen Taylor [D], Rep. Bradley Witt [D]")</f>
        <v>Rep. Jessica Pederson [D], Sen. Floyd Prozanski [D], Rep. Jennifer Williamson [D], Sen. Charles Riley [D], Rep. Alissa Keny-Guyer [D], Sen. Elizabeth Steiner Hayward [D], Rep. Barbara Warner [D], Sen. Alan Bates [D], Sen. Brian Boquist [I], Sen. Ginny Burdick [D], Sen. Michael Dembrow [D], Sen. Ted Ferrioli [R], Sen. Sara Gelser Blouin [D], Sen. Fred Girod [R], Sen. Mark Hass [D], Sen. Tim Knopp [R], Sen. Jeff Kruse [R], Sen. Laurie Monnes Anderson [D], Rep. Jeff Barker [D], Sen. Rod Monroe [D], Rep. Philip Barnhart [D], Sen. Diane Rosenbaum [D], Rep. Brent Barton [D], Sen. William Shields [D], Rep. Deborah Boone [D], Sen. Chuck Thomsen [R], Rep. Peter Buckley [D], Sen. Jackie Winters [R], Rep. Brian Clem [D], Rep. John Davis [R], Rep. Margaret Doherty [D], Sen. Shemia Fagan [D], Sen. Lew Frederick [D], Rep. Joe Gallegos [D], Rep. David Gomberg [D], Sen. Chris Gorsek [D], Rep. Mitch Greenlick [D], Rep. Jodi Hack [R], Rep. Ken Helm [D], Rep. Paul Holvey [D], Rep. Val Hoyle [D], Rep. Betty Komp [D], Rep. Tina Kotek [D], Rep. Ann Lininger [D], Rep. John Lively [D], Rep. Susan McLain [D], Rep. Robert Nosse [D], Rep. Carla Piluso [D], Rep. Dan Rayfield [D], Rep. Tobias Read [D], Rep. Jeff Reardon [D], Sen. Kathleen Taylor [D], Rep. Bradley Witt [D]</v>
      </c>
      <c r="H186" s="6">
        <f t="shared" si="23"/>
        <v>53</v>
      </c>
      <c r="I186" s="5">
        <v>21.0</v>
      </c>
      <c r="J186" s="5">
        <v>31.0</v>
      </c>
      <c r="K186" s="5">
        <v>0.0</v>
      </c>
      <c r="L186" s="6">
        <f t="shared" si="12"/>
        <v>0.3962264151</v>
      </c>
      <c r="M186" s="5">
        <v>49.0</v>
      </c>
      <c r="N186" s="5">
        <v>2.0</v>
      </c>
      <c r="O186" s="5">
        <v>2.0</v>
      </c>
      <c r="P186" s="5">
        <v>0.0</v>
      </c>
      <c r="Q186" s="5">
        <v>0.0</v>
      </c>
      <c r="R186" s="5">
        <v>0.0</v>
      </c>
      <c r="S186" s="5">
        <v>0.0</v>
      </c>
      <c r="T186" s="6">
        <f t="shared" si="13"/>
        <v>0.07547169811</v>
      </c>
      <c r="U186" s="7">
        <f t="shared" si="46"/>
        <v>44</v>
      </c>
      <c r="V186" s="7">
        <f t="shared" si="47"/>
        <v>8</v>
      </c>
      <c r="W186" s="7">
        <f t="shared" si="48"/>
        <v>1</v>
      </c>
      <c r="X186" s="6">
        <f t="shared" si="17"/>
        <v>0.8301886792</v>
      </c>
    </row>
    <row r="187">
      <c r="A187" s="3" t="s">
        <v>38</v>
      </c>
      <c r="B187" s="3">
        <v>2015.0</v>
      </c>
      <c r="C187" s="3" t="s">
        <v>25</v>
      </c>
      <c r="D187" s="4" t="s">
        <v>392</v>
      </c>
      <c r="E187" s="4" t="s">
        <v>393</v>
      </c>
      <c r="F187" s="5" t="s">
        <v>394</v>
      </c>
      <c r="G187" s="5" t="str">
        <f>IFERROR(__xludf.DUMMYFUNCTION("""COMPUTED_VALUE"""),"Sen. Nancy Barto [R], Sen. Sylvia Allen [R], Rep. Judy Burges [R], Sen. John Kavanagh [R], Sen. Debbie Lesko [R], Sen. Don Shooter [R], Rep. John Allen [R], Sen. Paul Boyer [R], Sen. Anthony Kern [R], Rep. Steve Montenegro [R], Rep. Justin Olson [R], Sen."&amp;" Warren Petersen [R], Sen. Kelly Townsend [R], Sen. Jeff Dial [R], Sen. David Farnsworth [R], Rep. Gail Griffin [R], Sen. Catherine Miranda [D], Rep. Stephen Pierce [R], Sen. Kelli Ward [R], Sen. Bob Worsley [R], Sen. Kimberly Yee [R], Rep. Russell Bowers"&amp;" [R], Sen. Mark Finchem [R], Sen. Linda Gray [R], Sen. Vince Leach [R], Rep. David Livingston [R], Sen. Javan Mesnard [R], Sen. Thomas Shope [R]")</f>
        <v>Sen. Nancy Barto [R], Sen. Sylvia Allen [R], Rep. Judy Burges [R], Sen. John Kavanagh [R], Sen. Debbie Lesko [R], Sen. Don Shooter [R], Rep. John Allen [R], Sen. Paul Boyer [R], Sen. Anthony Kern [R], Rep. Steve Montenegro [R], Rep. Justin Olson [R], Sen. Warren Petersen [R], Sen. Kelly Townsend [R], Sen. Jeff Dial [R], Sen. David Farnsworth [R], Rep. Gail Griffin [R], Sen. Catherine Miranda [D], Rep. Stephen Pierce [R], Sen. Kelli Ward [R], Sen. Bob Worsley [R], Sen. Kimberly Yee [R], Rep. Russell Bowers [R], Sen. Mark Finchem [R], Sen. Linda Gray [R], Sen. Vince Leach [R], Rep. David Livingston [R], Sen. Javan Mesnard [R], Sen. Thomas Shope [R]</v>
      </c>
      <c r="H187" s="6">
        <f t="shared" si="23"/>
        <v>28</v>
      </c>
      <c r="I187" s="5">
        <v>10.0</v>
      </c>
      <c r="J187" s="5">
        <v>18.0</v>
      </c>
      <c r="K187" s="5">
        <v>0.0</v>
      </c>
      <c r="L187" s="6">
        <f t="shared" si="12"/>
        <v>0.3571428571</v>
      </c>
      <c r="M187" s="5">
        <v>24.0</v>
      </c>
      <c r="N187" s="5">
        <v>0.0</v>
      </c>
      <c r="O187" s="5">
        <v>3.0</v>
      </c>
      <c r="P187" s="5">
        <v>1.0</v>
      </c>
      <c r="Q187" s="5">
        <v>0.0</v>
      </c>
      <c r="R187" s="5">
        <v>0.0</v>
      </c>
      <c r="S187" s="5">
        <v>0.0</v>
      </c>
      <c r="T187" s="6">
        <f t="shared" si="13"/>
        <v>0.1428571429</v>
      </c>
      <c r="U187" s="5">
        <f t="shared" si="46"/>
        <v>1</v>
      </c>
      <c r="V187" s="5">
        <f t="shared" si="47"/>
        <v>27</v>
      </c>
      <c r="W187" s="5">
        <f t="shared" si="48"/>
        <v>0</v>
      </c>
      <c r="X187" s="6">
        <f t="shared" si="17"/>
        <v>0.03571428571</v>
      </c>
    </row>
    <row r="188">
      <c r="A188" s="3" t="s">
        <v>292</v>
      </c>
      <c r="B188" s="3">
        <v>2021.0</v>
      </c>
      <c r="C188" s="3" t="s">
        <v>44</v>
      </c>
      <c r="D188" s="4" t="s">
        <v>395</v>
      </c>
      <c r="E188" s="3" t="s">
        <v>161</v>
      </c>
      <c r="F188" s="5" t="s">
        <v>396</v>
      </c>
      <c r="G188" s="6" t="str">
        <f>IFERROR(__xludf.DUMMYFUNCTION("""COMPUTED_VALUE"""),"Rep. Raymond Ward [R], Sen. Curtis Bramble [R]")</f>
        <v>Rep. Raymond Ward [R], Sen. Curtis Bramble [R]</v>
      </c>
      <c r="H188" s="6">
        <f t="shared" si="23"/>
        <v>2</v>
      </c>
      <c r="I188" s="5">
        <v>0.0</v>
      </c>
      <c r="J188" s="5">
        <v>2.0</v>
      </c>
      <c r="K188" s="5">
        <v>0.0</v>
      </c>
      <c r="L188" s="6">
        <f t="shared" si="12"/>
        <v>0</v>
      </c>
      <c r="M188" s="5">
        <v>2.0</v>
      </c>
      <c r="N188" s="5">
        <v>0.0</v>
      </c>
      <c r="O188" s="5">
        <v>0.0</v>
      </c>
      <c r="P188" s="5">
        <v>0.0</v>
      </c>
      <c r="Q188" s="5">
        <v>0.0</v>
      </c>
      <c r="R188" s="5">
        <v>0.0</v>
      </c>
      <c r="S188" s="5">
        <v>0.0</v>
      </c>
      <c r="T188" s="6">
        <f t="shared" si="13"/>
        <v>0</v>
      </c>
      <c r="U188" s="7">
        <f t="shared" si="46"/>
        <v>0</v>
      </c>
      <c r="V188" s="7">
        <f t="shared" si="47"/>
        <v>2</v>
      </c>
      <c r="W188" s="7">
        <f t="shared" si="48"/>
        <v>0</v>
      </c>
      <c r="X188" s="6">
        <f t="shared" si="17"/>
        <v>0</v>
      </c>
    </row>
    <row r="189">
      <c r="A189" s="3" t="s">
        <v>146</v>
      </c>
      <c r="B189" s="3">
        <v>2015.0</v>
      </c>
      <c r="C189" s="3" t="s">
        <v>25</v>
      </c>
      <c r="D189" s="4" t="s">
        <v>397</v>
      </c>
      <c r="E189" s="7" t="s">
        <v>179</v>
      </c>
      <c r="F189" s="5" t="s">
        <v>398</v>
      </c>
      <c r="G189" s="5" t="str">
        <f>IFERROR(__xludf.DUMMYFUNCTION("""COMPUTED_VALUE"""),"Rep. Scott Plakon [R]")</f>
        <v>Rep. Scott Plakon [R]</v>
      </c>
      <c r="H189" s="6">
        <f t="shared" si="23"/>
        <v>1</v>
      </c>
      <c r="I189" s="5">
        <v>0.0</v>
      </c>
      <c r="J189" s="5">
        <v>1.0</v>
      </c>
      <c r="K189" s="5">
        <v>0.0</v>
      </c>
      <c r="L189" s="6">
        <f t="shared" si="12"/>
        <v>0</v>
      </c>
      <c r="M189" s="5">
        <v>1.0</v>
      </c>
      <c r="N189" s="5">
        <v>0.0</v>
      </c>
      <c r="O189" s="5">
        <v>0.0</v>
      </c>
      <c r="P189" s="5">
        <v>0.0</v>
      </c>
      <c r="Q189" s="5">
        <v>0.0</v>
      </c>
      <c r="R189" s="5">
        <v>0.0</v>
      </c>
      <c r="S189" s="5">
        <v>0.0</v>
      </c>
      <c r="T189" s="6">
        <f t="shared" si="13"/>
        <v>0</v>
      </c>
      <c r="U189" s="5">
        <f t="shared" si="46"/>
        <v>0</v>
      </c>
      <c r="V189" s="5">
        <f t="shared" si="47"/>
        <v>1</v>
      </c>
      <c r="W189" s="5">
        <f t="shared" si="48"/>
        <v>0</v>
      </c>
      <c r="X189" s="6">
        <f t="shared" si="17"/>
        <v>0</v>
      </c>
    </row>
    <row r="190">
      <c r="A190" s="3" t="s">
        <v>273</v>
      </c>
      <c r="B190" s="3">
        <v>2014.0</v>
      </c>
      <c r="C190" s="3" t="s">
        <v>330</v>
      </c>
      <c r="D190" s="3" t="s">
        <v>399</v>
      </c>
      <c r="E190" s="3" t="s">
        <v>400</v>
      </c>
      <c r="F190" s="5" t="s">
        <v>401</v>
      </c>
      <c r="G190" s="6" t="str">
        <f>IFERROR(__xludf.DUMMYFUNCTION("""COMPUTED_VALUE"""),"Rep. Kermit Williams [D], Rep. Donna Schlachman [D], Sen. Donna Soucy [D]")</f>
        <v>Rep. Kermit Williams [D], Rep. Donna Schlachman [D], Sen. Donna Soucy [D]</v>
      </c>
      <c r="H190" s="6">
        <f t="shared" si="23"/>
        <v>3</v>
      </c>
      <c r="I190" s="5">
        <v>2.0</v>
      </c>
      <c r="J190" s="5">
        <v>1.0</v>
      </c>
      <c r="K190" s="5">
        <v>0.0</v>
      </c>
      <c r="L190" s="6">
        <f t="shared" si="12"/>
        <v>0.6666666667</v>
      </c>
      <c r="M190" s="5">
        <v>3.0</v>
      </c>
      <c r="N190" s="5">
        <v>0.0</v>
      </c>
      <c r="O190" s="5">
        <v>0.0</v>
      </c>
      <c r="P190" s="5">
        <v>0.0</v>
      </c>
      <c r="Q190" s="5">
        <v>0.0</v>
      </c>
      <c r="R190" s="5">
        <v>0.0</v>
      </c>
      <c r="S190" s="5">
        <v>0.0</v>
      </c>
      <c r="T190" s="6">
        <f t="shared" si="13"/>
        <v>0</v>
      </c>
      <c r="U190" s="5">
        <f t="shared" si="46"/>
        <v>3</v>
      </c>
      <c r="V190" s="5">
        <f t="shared" si="47"/>
        <v>0</v>
      </c>
      <c r="W190" s="5">
        <f t="shared" si="48"/>
        <v>0</v>
      </c>
      <c r="X190" s="6">
        <f t="shared" si="17"/>
        <v>1</v>
      </c>
    </row>
    <row r="191">
      <c r="A191" s="3" t="s">
        <v>270</v>
      </c>
      <c r="B191" s="3">
        <v>2014.0</v>
      </c>
      <c r="C191" s="3" t="s">
        <v>25</v>
      </c>
      <c r="D191" s="4" t="s">
        <v>402</v>
      </c>
      <c r="E191" s="7" t="s">
        <v>403</v>
      </c>
      <c r="F191" s="5" t="s">
        <v>404</v>
      </c>
      <c r="G191" s="5" t="str">
        <f>IFERROR(__xludf.DUMMYFUNCTION("""COMPUTED_VALUE"""),"Sen. Judson Hill [R], Sen. Steve Gooch [R], Sen. Butch Miller [R], Sen. Bill Heath [R], Sen. William Ligon [R], Sen. Barry Loudermilk [R], Rep. Darlene Taylor [R]")</f>
        <v>Sen. Judson Hill [R], Sen. Steve Gooch [R], Sen. Butch Miller [R], Sen. Bill Heath [R], Sen. William Ligon [R], Sen. Barry Loudermilk [R], Rep. Darlene Taylor [R]</v>
      </c>
      <c r="H191" s="6">
        <f t="shared" si="23"/>
        <v>7</v>
      </c>
      <c r="I191" s="5">
        <v>1.0</v>
      </c>
      <c r="J191" s="5">
        <v>6.0</v>
      </c>
      <c r="K191" s="5">
        <v>0.0</v>
      </c>
      <c r="L191" s="6">
        <f t="shared" si="12"/>
        <v>0.1428571429</v>
      </c>
      <c r="M191" s="5">
        <v>7.0</v>
      </c>
      <c r="N191" s="5">
        <v>0.0</v>
      </c>
      <c r="O191" s="5">
        <v>0.0</v>
      </c>
      <c r="P191" s="5">
        <v>0.0</v>
      </c>
      <c r="Q191" s="5">
        <v>0.0</v>
      </c>
      <c r="R191" s="5">
        <v>0.0</v>
      </c>
      <c r="S191" s="5">
        <v>0.0</v>
      </c>
      <c r="T191" s="6">
        <f t="shared" si="13"/>
        <v>0</v>
      </c>
      <c r="U191" s="5">
        <f t="shared" si="46"/>
        <v>0</v>
      </c>
      <c r="V191" s="5">
        <f t="shared" si="47"/>
        <v>7</v>
      </c>
      <c r="W191" s="5">
        <f t="shared" si="48"/>
        <v>0</v>
      </c>
      <c r="X191" s="6">
        <f t="shared" si="17"/>
        <v>0</v>
      </c>
    </row>
    <row r="192">
      <c r="A192" s="3" t="s">
        <v>405</v>
      </c>
      <c r="B192" s="3">
        <v>2013.0</v>
      </c>
      <c r="C192" s="3" t="s">
        <v>30</v>
      </c>
      <c r="D192" s="4" t="s">
        <v>406</v>
      </c>
      <c r="E192" s="3" t="s">
        <v>36</v>
      </c>
      <c r="F192" s="5" t="s">
        <v>407</v>
      </c>
      <c r="G192" s="6" t="str">
        <f>IFERROR(__xludf.DUMMYFUNCTION("""COMPUTED_VALUE"""),"Sen. Peter Brunstetter [R], Sen. Harry Brown [R], Sen. Neal Hunt [R]")</f>
        <v>Sen. Peter Brunstetter [R], Sen. Harry Brown [R], Sen. Neal Hunt [R]</v>
      </c>
      <c r="H192" s="6">
        <f t="shared" si="23"/>
        <v>3</v>
      </c>
      <c r="I192" s="5">
        <v>0.0</v>
      </c>
      <c r="J192" s="5">
        <v>3.0</v>
      </c>
      <c r="K192" s="5">
        <v>0.0</v>
      </c>
      <c r="L192" s="6">
        <f t="shared" si="12"/>
        <v>0</v>
      </c>
      <c r="M192" s="5">
        <v>3.0</v>
      </c>
      <c r="N192" s="5">
        <v>0.0</v>
      </c>
      <c r="O192" s="5">
        <v>0.0</v>
      </c>
      <c r="P192" s="5">
        <v>0.0</v>
      </c>
      <c r="Q192" s="5">
        <v>0.0</v>
      </c>
      <c r="R192" s="5">
        <v>0.0</v>
      </c>
      <c r="S192" s="5">
        <v>0.0</v>
      </c>
      <c r="T192" s="6">
        <f t="shared" si="13"/>
        <v>0</v>
      </c>
      <c r="U192" s="7">
        <f t="shared" si="46"/>
        <v>0</v>
      </c>
      <c r="V192" s="7">
        <f t="shared" si="47"/>
        <v>3</v>
      </c>
      <c r="W192" s="7">
        <f t="shared" si="48"/>
        <v>0</v>
      </c>
      <c r="X192" s="6">
        <f t="shared" si="17"/>
        <v>0</v>
      </c>
    </row>
    <row r="193">
      <c r="A193" s="3" t="s">
        <v>43</v>
      </c>
      <c r="B193" s="3">
        <v>2013.0</v>
      </c>
      <c r="C193" s="3" t="s">
        <v>25</v>
      </c>
      <c r="D193" s="4" t="s">
        <v>408</v>
      </c>
      <c r="E193" s="7" t="s">
        <v>409</v>
      </c>
      <c r="F193" s="5" t="s">
        <v>410</v>
      </c>
      <c r="G193" s="5" t="str">
        <f>IFERROR(__xludf.DUMMYFUNCTION("""COMPUTED_VALUE"""),"Rep. Butch Wilkins [D], Sen. Cecile Bledsoe [R], Rep. Duncan Baird [R], Rep. David Meeks [R], Rep. Gary Deffenbaugh [R], Rep. Joe Farrer [R], Rep. Bill Gossage [R], Rep. Justin Harris [R], Rep. John Burris [R], Rep. Jody Dickinson [D], Rep. Homer Lenderma"&amp;"n [D], Rep. Mark Lowery [R], Rep. Stephen Magie [D], Rep. Josh Miller [R], Sen. John Payton [R], Rep. James Ratliff [D], Rep. Chris Richey [D], Rep. Tommy Thompson [D], Rep. Jeff Wardlaw [R]")</f>
        <v>Rep. Butch Wilkins [D], Sen. Cecile Bledsoe [R], Rep. Duncan Baird [R], Rep. David Meeks [R], Rep. Gary Deffenbaugh [R], Rep. Joe Farrer [R], Rep. Bill Gossage [R], Rep. Justin Harris [R], Rep. John Burris [R], Rep. Jody Dickinson [D], Rep. Homer Lenderman [D], Rep. Mark Lowery [R], Rep. Stephen Magie [D], Rep. Josh Miller [R], Sen. John Payton [R], Rep. James Ratliff [D], Rep. Chris Richey [D], Rep. Tommy Thompson [D], Rep. Jeff Wardlaw [R]</v>
      </c>
      <c r="H193" s="6">
        <f t="shared" si="23"/>
        <v>19</v>
      </c>
      <c r="I193" s="5">
        <v>2.0</v>
      </c>
      <c r="J193" s="5">
        <v>17.0</v>
      </c>
      <c r="K193" s="5">
        <v>0.0</v>
      </c>
      <c r="L193" s="6">
        <f t="shared" si="12"/>
        <v>0.1052631579</v>
      </c>
      <c r="M193" s="5">
        <v>19.0</v>
      </c>
      <c r="N193" s="5">
        <v>0.0</v>
      </c>
      <c r="O193" s="5">
        <v>0.0</v>
      </c>
      <c r="P193" s="5">
        <v>0.0</v>
      </c>
      <c r="Q193" s="5">
        <v>0.0</v>
      </c>
      <c r="R193" s="5">
        <v>0.0</v>
      </c>
      <c r="S193" s="5">
        <v>0.0</v>
      </c>
      <c r="T193" s="6">
        <f t="shared" si="13"/>
        <v>0</v>
      </c>
      <c r="U193" s="5">
        <f t="shared" si="46"/>
        <v>7</v>
      </c>
      <c r="V193" s="5">
        <f t="shared" si="47"/>
        <v>12</v>
      </c>
      <c r="W193" s="5">
        <f t="shared" si="48"/>
        <v>0</v>
      </c>
      <c r="X193" s="6">
        <f t="shared" si="17"/>
        <v>0.3684210526</v>
      </c>
    </row>
    <row r="194">
      <c r="A194" s="3" t="s">
        <v>405</v>
      </c>
      <c r="B194" s="3">
        <v>2013.0</v>
      </c>
      <c r="C194" s="3" t="s">
        <v>25</v>
      </c>
      <c r="D194" s="4" t="s">
        <v>411</v>
      </c>
      <c r="E194" s="7" t="s">
        <v>409</v>
      </c>
      <c r="F194" s="5" t="s">
        <v>412</v>
      </c>
      <c r="G194" s="5" t="str">
        <f>IFERROR(__xludf.DUMMYFUNCTION("""COMPUTED_VALUE"""),"Sen. Kathryn Harrington [R], Sen. Warren Daniel [R], Sen. James Davis [R], Sen. William Rabon [R], Sen. Daniel Soucek [R]")</f>
        <v>Sen. Kathryn Harrington [R], Sen. Warren Daniel [R], Sen. James Davis [R], Sen. William Rabon [R], Sen. Daniel Soucek [R]</v>
      </c>
      <c r="H194" s="6">
        <f t="shared" si="23"/>
        <v>5</v>
      </c>
      <c r="I194" s="5">
        <v>1.0</v>
      </c>
      <c r="J194" s="5">
        <v>4.0</v>
      </c>
      <c r="K194" s="5">
        <v>0.0</v>
      </c>
      <c r="L194" s="6">
        <f t="shared" si="12"/>
        <v>0.2</v>
      </c>
      <c r="M194" s="5">
        <v>5.0</v>
      </c>
      <c r="N194" s="5">
        <v>0.0</v>
      </c>
      <c r="O194" s="5">
        <v>0.0</v>
      </c>
      <c r="P194" s="5">
        <v>0.0</v>
      </c>
      <c r="Q194" s="5">
        <v>0.0</v>
      </c>
      <c r="R194" s="5">
        <v>0.0</v>
      </c>
      <c r="S194" s="5">
        <v>0.0</v>
      </c>
      <c r="T194" s="6">
        <f t="shared" si="13"/>
        <v>0</v>
      </c>
      <c r="U194" s="7">
        <f t="shared" si="46"/>
        <v>0</v>
      </c>
      <c r="V194" s="7">
        <f t="shared" si="47"/>
        <v>5</v>
      </c>
      <c r="W194" s="7">
        <f t="shared" si="48"/>
        <v>0</v>
      </c>
      <c r="X194" s="6">
        <f t="shared" si="17"/>
        <v>0</v>
      </c>
    </row>
    <row r="195">
      <c r="A195" s="3" t="s">
        <v>382</v>
      </c>
      <c r="B195" s="3">
        <v>2013.0</v>
      </c>
      <c r="C195" s="3" t="s">
        <v>25</v>
      </c>
      <c r="D195" s="4" t="s">
        <v>413</v>
      </c>
      <c r="E195" s="7" t="s">
        <v>409</v>
      </c>
      <c r="F195" s="5" t="s">
        <v>414</v>
      </c>
      <c r="G195" s="5" t="str">
        <f>IFERROR(__xludf.DUMMYFUNCTION("""COMPUTED_VALUE"""),"Rep. Donna Oberlander [R], Rep. Daryl Metcalfe [R], Rep. John Lawrence [R], Rep. George Dunbar [R], Rep. David Millard [R], Rep. Matthew Baker [R], Rep. Paul Clymer [R], Rep. Jerry Stern [R], Sen. Ryan Aument [R], Rep. Stephen Bloom [R], Rep. Kathy Rapp ["&amp;"R], Rep. Stephen Barrar [R], Rep. Robert Kauffman [R], Rep. Stanley Saylor [R], Rep. Christopher Harris [R], Rep. RoseMarie Swanger [R], Rep. Bryan Cutler [R], Rep. Richard Stevenson [R], Rep. Will Tallman [R], Rep. Dick Hess [R], Rep. Joseph Emrick [R], "&amp;"Rep. Thomas Mustio [R], Rep. Thomas Caltagirone [D], Rep. Dan Moul [R], Rep. Gordon Denlinger [R], Rep. Jim Cox [R], Rep. Mark Gillen [R], Sen. Michele Brooks [R], Rep. Matthew Gabler [R], Rep. Gary Day [R], Rep. Glen Grell [R], Rep. Todd Rock [R], Rep. T"&amp;"imothy Krieger [R], Rep. Jerome Knowles [R], Rep. David Hickernell [R], Rep. Frederick Keller [R], Rep. Timothy Hennessey [R], Rep. John McGinnis [R], Rep. Mauree Gingrich [R], Rep. Marcia Hahn [R], Rep. Katharine Watson [R], Rep. Mark Keller [R], Rep. Ka"&amp;"ren Boback [R], Rep. Susan Helm [R], Rep. Martin Causer [R], Rep. Richard Saccone [R], Rep. Harold James [D]")</f>
        <v>Rep. Donna Oberlander [R], Rep. Daryl Metcalfe [R], Rep. John Lawrence [R], Rep. George Dunbar [R], Rep. David Millard [R], Rep. Matthew Baker [R], Rep. Paul Clymer [R], Rep. Jerry Stern [R], Sen. Ryan Aument [R], Rep. Stephen Bloom [R], Rep. Kathy Rapp [R], Rep. Stephen Barrar [R], Rep. Robert Kauffman [R], Rep. Stanley Saylor [R], Rep. Christopher Harris [R], Rep. RoseMarie Swanger [R], Rep. Bryan Cutler [R], Rep. Richard Stevenson [R], Rep. Will Tallman [R], Rep. Dick Hess [R], Rep. Joseph Emrick [R], Rep. Thomas Mustio [R], Rep. Thomas Caltagirone [D], Rep. Dan Moul [R], Rep. Gordon Denlinger [R], Rep. Jim Cox [R], Rep. Mark Gillen [R], Sen. Michele Brooks [R], Rep. Matthew Gabler [R], Rep. Gary Day [R], Rep. Glen Grell [R], Rep. Todd Rock [R], Rep. Timothy Krieger [R], Rep. Jerome Knowles [R], Rep. David Hickernell [R], Rep. Frederick Keller [R], Rep. Timothy Hennessey [R], Rep. John McGinnis [R], Rep. Mauree Gingrich [R], Rep. Marcia Hahn [R], Rep. Katharine Watson [R], Rep. Mark Keller [R], Rep. Karen Boback [R], Rep. Susan Helm [R], Rep. Martin Causer [R], Rep. Richard Saccone [R], Rep. Harold James [D]</v>
      </c>
      <c r="H195" s="6">
        <f t="shared" si="23"/>
        <v>47</v>
      </c>
      <c r="I195" s="5">
        <v>9.0</v>
      </c>
      <c r="J195" s="5">
        <v>38.0</v>
      </c>
      <c r="K195" s="5">
        <v>0.0</v>
      </c>
      <c r="L195" s="6">
        <f t="shared" si="12"/>
        <v>0.1914893617</v>
      </c>
      <c r="M195" s="5">
        <v>46.0</v>
      </c>
      <c r="N195" s="5">
        <v>1.0</v>
      </c>
      <c r="O195" s="5">
        <v>0.0</v>
      </c>
      <c r="P195" s="5">
        <v>0.0</v>
      </c>
      <c r="Q195" s="5">
        <v>0.0</v>
      </c>
      <c r="R195" s="5">
        <v>0.0</v>
      </c>
      <c r="S195" s="5">
        <v>0.0</v>
      </c>
      <c r="T195" s="6">
        <f t="shared" si="13"/>
        <v>0.02127659574</v>
      </c>
      <c r="U195" s="7">
        <f t="shared" si="46"/>
        <v>2</v>
      </c>
      <c r="V195" s="7">
        <f t="shared" si="47"/>
        <v>45</v>
      </c>
      <c r="W195" s="7">
        <f t="shared" si="48"/>
        <v>0</v>
      </c>
      <c r="X195" s="6">
        <f t="shared" si="17"/>
        <v>0.04255319149</v>
      </c>
    </row>
    <row r="196">
      <c r="A196" s="3" t="s">
        <v>415</v>
      </c>
      <c r="B196" s="3">
        <v>2012.0</v>
      </c>
      <c r="C196" s="3" t="s">
        <v>25</v>
      </c>
      <c r="D196" s="4" t="s">
        <v>416</v>
      </c>
      <c r="E196" s="7" t="s">
        <v>417</v>
      </c>
      <c r="F196" s="5" t="s">
        <v>418</v>
      </c>
      <c r="G196" s="5" t="str">
        <f>IFERROR(__xludf.DUMMYFUNCTION("""COMPUTED_VALUE"""),"Sen. George Campsen [R], Sen. Michael Fair [R], Sen. Lawrence Grooms [R], Sen. Danny Verdin [R]")</f>
        <v>Sen. George Campsen [R], Sen. Michael Fair [R], Sen. Lawrence Grooms [R], Sen. Danny Verdin [R]</v>
      </c>
      <c r="H196" s="6">
        <f t="shared" si="23"/>
        <v>4</v>
      </c>
      <c r="I196" s="5">
        <v>0.0</v>
      </c>
      <c r="J196" s="5">
        <v>4.0</v>
      </c>
      <c r="K196" s="5">
        <v>0.0</v>
      </c>
      <c r="L196" s="6">
        <f t="shared" si="12"/>
        <v>0</v>
      </c>
      <c r="M196" s="5">
        <v>4.0</v>
      </c>
      <c r="N196" s="5">
        <v>0.0</v>
      </c>
      <c r="O196" s="5">
        <v>0.0</v>
      </c>
      <c r="P196" s="5">
        <v>0.0</v>
      </c>
      <c r="Q196" s="5">
        <v>0.0</v>
      </c>
      <c r="R196" s="5">
        <v>0.0</v>
      </c>
      <c r="S196" s="5">
        <v>0.0</v>
      </c>
      <c r="T196" s="6">
        <f t="shared" si="13"/>
        <v>0</v>
      </c>
      <c r="U196" s="7">
        <f t="shared" si="46"/>
        <v>0</v>
      </c>
      <c r="V196" s="7">
        <f t="shared" si="47"/>
        <v>4</v>
      </c>
      <c r="W196" s="7">
        <f t="shared" si="48"/>
        <v>0</v>
      </c>
      <c r="X196" s="6">
        <f t="shared" si="17"/>
        <v>0</v>
      </c>
    </row>
    <row r="197">
      <c r="A197" s="3" t="s">
        <v>419</v>
      </c>
      <c r="B197" s="3">
        <v>2012.0</v>
      </c>
      <c r="C197" s="3" t="s">
        <v>25</v>
      </c>
      <c r="D197" s="4" t="s">
        <v>420</v>
      </c>
      <c r="E197" s="7" t="s">
        <v>417</v>
      </c>
      <c r="F197" s="5" t="s">
        <v>421</v>
      </c>
      <c r="G197" s="5" t="str">
        <f>IFERROR(__xludf.DUMMYFUNCTION("""COMPUTED_VALUE"""),"Sen. Corey Brown [R], Rep. Bob Deelstra [R], Rep. Brian Gosch [R], Rep. Jon Hansen [R], Rep. Steve Hickey [R], Rep. Roger Hunt [R], Sen. Stace Nelson [R], Sen. Jenna Netherton [R], Sen. Betty Olson [R], Rep. Val Rausch [R], Rep. Shawn Tornow [R], Rep. Hal"&amp;" Wick [R]")</f>
        <v>Sen. Corey Brown [R], Rep. Bob Deelstra [R], Rep. Brian Gosch [R], Rep. Jon Hansen [R], Rep. Steve Hickey [R], Rep. Roger Hunt [R], Sen. Stace Nelson [R], Sen. Jenna Netherton [R], Sen. Betty Olson [R], Rep. Val Rausch [R], Rep. Shawn Tornow [R], Rep. Hal Wick [R]</v>
      </c>
      <c r="H197" s="6">
        <f t="shared" si="23"/>
        <v>12</v>
      </c>
      <c r="I197" s="5">
        <v>2.0</v>
      </c>
      <c r="J197" s="5">
        <v>10.0</v>
      </c>
      <c r="K197" s="5">
        <v>0.0</v>
      </c>
      <c r="L197" s="6">
        <f t="shared" si="12"/>
        <v>0.1666666667</v>
      </c>
      <c r="M197" s="5">
        <v>12.0</v>
      </c>
      <c r="N197" s="5">
        <v>0.0</v>
      </c>
      <c r="O197" s="5">
        <v>0.0</v>
      </c>
      <c r="P197" s="5">
        <v>0.0</v>
      </c>
      <c r="Q197" s="5">
        <v>0.0</v>
      </c>
      <c r="R197" s="5">
        <v>0.0</v>
      </c>
      <c r="S197" s="5">
        <v>0.0</v>
      </c>
      <c r="T197" s="6">
        <f t="shared" si="13"/>
        <v>0</v>
      </c>
      <c r="U197" s="7">
        <f t="shared" si="46"/>
        <v>0</v>
      </c>
      <c r="V197" s="7">
        <f t="shared" si="47"/>
        <v>12</v>
      </c>
      <c r="W197" s="7">
        <f t="shared" si="48"/>
        <v>0</v>
      </c>
      <c r="X197" s="6">
        <f t="shared" si="17"/>
        <v>0</v>
      </c>
    </row>
    <row r="198">
      <c r="A198" s="3" t="s">
        <v>422</v>
      </c>
      <c r="B198" s="3">
        <v>2012.0</v>
      </c>
      <c r="C198" s="3" t="s">
        <v>25</v>
      </c>
      <c r="D198" s="4" t="s">
        <v>423</v>
      </c>
      <c r="E198" s="7" t="s">
        <v>417</v>
      </c>
      <c r="F198" s="5" t="s">
        <v>424</v>
      </c>
      <c r="G198" s="5" t="str">
        <f>IFERROR(__xludf.DUMMYFUNCTION("""COMPUTED_VALUE"""),"Sen. Rich Zipperer [R], Sen. Joe Leibham [R], Sen. Robert Cowles [R], Sen. Pamela Galloway [R], Sen. Randy Hopper [R], Sen. Dan Kapanke [R], Sen. Neal Kedzie [R], Sen. Mary Lazich [R], Sen. Terry Moulton [R], Sen. Van Wanggaard [R], Rep. Robin Vos [R], Se"&amp;"n. Andre Jacque [R], Sen. Joan Ballweg [R], Rep. Ed Brooks [R], Rep. Michael Endsley [R], Sen. Paul Farrow [R], Rep. Mark Honadel [R], Sen. Chris Kapenga [R], Rep. Samantha Kerkman [R], Rep. Steve Kestell [R], Rep. Joel Kleefisch [R], Sen. Dale Kooyenga ["&amp;"R], Rep. Mike Kuglitsch [R], Rep. Daniel LeMahieu [R], Sen. Steve Nass [R], Rep. John Nygren [R], Rep. Alvin Ott [R], Rep. Jim Ott [R], Rep. Kevin Petersen [R], Rep. Donald Pridemore [R], Rep. Erik Severson [R], Rep. Richard Spanbauer [R], Rep. Jim Steine"&amp;"ke [R], Rep. Jeremy Thiesfeldt [R], Rep. Karl Van Roy [R], Rep. Chad Weininger [R], Rep. Mary Williams [R], Rep. Evan Wynn [R], Rep. Bob Ziegelbauer [I]")</f>
        <v>Sen. Rich Zipperer [R], Sen. Joe Leibham [R], Sen. Robert Cowles [R], Sen. Pamela Galloway [R], Sen. Randy Hopper [R], Sen. Dan Kapanke [R], Sen. Neal Kedzie [R], Sen. Mary Lazich [R], Sen. Terry Moulton [R], Sen. Van Wanggaard [R], Rep. Robin Vos [R], Sen. Andre Jacque [R], Sen. Joan Ballweg [R], Rep. Ed Brooks [R], Rep. Michael Endsley [R], Sen. Paul Farrow [R], Rep. Mark Honadel [R], Sen. Chris Kapenga [R], Rep. Samantha Kerkman [R], Rep. Steve Kestell [R], Rep. Joel Kleefisch [R], Sen. Dale Kooyenga [R], Rep. Mike Kuglitsch [R], Rep. Daniel LeMahieu [R], Sen. Steve Nass [R], Rep. John Nygren [R], Rep. Alvin Ott [R], Rep. Jim Ott [R], Rep. Kevin Petersen [R], Rep. Donald Pridemore [R], Rep. Erik Severson [R], Rep. Richard Spanbauer [R], Rep. Jim Steineke [R], Rep. Jeremy Thiesfeldt [R], Rep. Karl Van Roy [R], Rep. Chad Weininger [R], Rep. Mary Williams [R], Rep. Evan Wynn [R], Rep. Bob Ziegelbauer [I]</v>
      </c>
      <c r="H198" s="6">
        <f t="shared" si="23"/>
        <v>39</v>
      </c>
      <c r="I198" s="5">
        <v>4.0</v>
      </c>
      <c r="J198" s="5">
        <v>34.0</v>
      </c>
      <c r="K198" s="5">
        <v>0.0</v>
      </c>
      <c r="L198" s="6">
        <f t="shared" si="12"/>
        <v>0.1025641026</v>
      </c>
      <c r="M198" s="5">
        <v>39.0</v>
      </c>
      <c r="N198" s="5">
        <v>0.0</v>
      </c>
      <c r="O198" s="5">
        <v>0.0</v>
      </c>
      <c r="P198" s="5">
        <v>0.0</v>
      </c>
      <c r="Q198" s="5">
        <v>0.0</v>
      </c>
      <c r="R198" s="5">
        <v>0.0</v>
      </c>
      <c r="S198" s="5">
        <v>0.0</v>
      </c>
      <c r="T198" s="6">
        <f t="shared" si="13"/>
        <v>0</v>
      </c>
      <c r="U198" s="7">
        <f t="shared" si="46"/>
        <v>0</v>
      </c>
      <c r="V198" s="7">
        <f t="shared" si="47"/>
        <v>38</v>
      </c>
      <c r="W198" s="7">
        <f t="shared" si="48"/>
        <v>1</v>
      </c>
      <c r="X198" s="6">
        <f t="shared" si="17"/>
        <v>0</v>
      </c>
    </row>
    <row r="199">
      <c r="A199" s="3" t="s">
        <v>125</v>
      </c>
      <c r="B199" s="3">
        <v>2011.0</v>
      </c>
      <c r="C199" s="3" t="s">
        <v>30</v>
      </c>
      <c r="D199" s="4" t="s">
        <v>425</v>
      </c>
      <c r="E199" s="3" t="s">
        <v>426</v>
      </c>
      <c r="F199" s="5" t="s">
        <v>427</v>
      </c>
      <c r="G199" s="6" t="str">
        <f>IFERROR(__xludf.DUMMYFUNCTION("""COMPUTED_VALUE"""),"Rep. Joseph Aresimowicz [D] Rep. David Baram [D] Rep. Elizabeth Boukus [D] Sen. Stephen Cassano [D], Sen. Joseph Crisco [D] Rep. Paul Davis [D] Sen. Mae Flexer [D] Sen. Edwin Gomes [D], Rep. Gregory Haddad [D] Sen. Toni Harp [D] Rep. David Kiner [D], Sen."&amp;" John Kissel [R] Sen. Martin Looney [D] Sen. Edward Meyer [D] Rep. Russell Morin [D], Sen. Edith Prague [D] Sen. Gayle Slossberg [D] Sen. Donald Williams [D] Rep. Bruce Zalaski [D]")</f>
        <v>Rep. Joseph Aresimowicz [D] Rep. David Baram [D] Rep. Elizabeth Boukus [D] Sen. Stephen Cassano [D], Sen. Joseph Crisco [D] Rep. Paul Davis [D] Sen. Mae Flexer [D] Sen. Edwin Gomes [D], Rep. Gregory Haddad [D] Sen. Toni Harp [D] Rep. David Kiner [D], Sen. John Kissel [R] Sen. Martin Looney [D] Sen. Edward Meyer [D] Rep. Russell Morin [D], Sen. Edith Prague [D] Sen. Gayle Slossberg [D] Sen. Donald Williams [D] Rep. Bruce Zalaski [D]</v>
      </c>
      <c r="H199" s="6">
        <f t="shared" si="23"/>
        <v>19</v>
      </c>
      <c r="I199" s="5">
        <v>5.0</v>
      </c>
      <c r="J199" s="5">
        <v>14.0</v>
      </c>
      <c r="K199" s="5">
        <v>0.0</v>
      </c>
      <c r="L199" s="6">
        <f t="shared" si="12"/>
        <v>0.2631578947</v>
      </c>
      <c r="M199" s="5">
        <v>17.0</v>
      </c>
      <c r="N199" s="5">
        <v>2.0</v>
      </c>
      <c r="O199" s="5">
        <v>0.0</v>
      </c>
      <c r="P199" s="5">
        <v>0.0</v>
      </c>
      <c r="Q199" s="5">
        <v>0.0</v>
      </c>
      <c r="R199" s="5">
        <v>0.0</v>
      </c>
      <c r="S199" s="5">
        <v>0.0</v>
      </c>
      <c r="T199" s="6">
        <f t="shared" si="13"/>
        <v>0.1052631579</v>
      </c>
      <c r="U199" s="5">
        <f t="shared" si="46"/>
        <v>18</v>
      </c>
      <c r="V199" s="5">
        <f t="shared" si="47"/>
        <v>1</v>
      </c>
      <c r="W199" s="5">
        <f t="shared" si="48"/>
        <v>0</v>
      </c>
      <c r="X199" s="6">
        <f t="shared" si="17"/>
        <v>0.9473684211</v>
      </c>
    </row>
    <row r="200">
      <c r="A200" s="3" t="s">
        <v>62</v>
      </c>
      <c r="B200" s="3">
        <v>2011.0</v>
      </c>
      <c r="C200" s="3" t="s">
        <v>44</v>
      </c>
      <c r="D200" s="4" t="s">
        <v>428</v>
      </c>
      <c r="E200" s="3" t="s">
        <v>429</v>
      </c>
      <c r="F200" s="5" t="s">
        <v>430</v>
      </c>
      <c r="G200" s="6" t="str">
        <f>IFERROR(__xludf.DUMMYFUNCTION("""COMPUTED_VALUE"""),"Asm. Sheldon Silver [D], Asm. Steven Cymbrowitz [D], Asm. Helene Weinstein [D], Asm. Rhoda Jacobs [D], Asm. Charles Lavine [D], Asm. Peter Abbate [D], Asm. Edward Braunstein [D], Asm. Alec Brook-Krasny [D], Asm. Ellen Jaffee [D], Asm. Kenneth Zebrowski [D"&amp;"]")</f>
        <v>Asm. Sheldon Silver [D], Asm. Steven Cymbrowitz [D], Asm. Helene Weinstein [D], Asm. Rhoda Jacobs [D], Asm. Charles Lavine [D], Asm. Peter Abbate [D], Asm. Edward Braunstein [D], Asm. Alec Brook-Krasny [D], Asm. Ellen Jaffee [D], Asm. Kenneth Zebrowski [D]</v>
      </c>
      <c r="H200" s="15">
        <f t="shared" si="23"/>
        <v>10</v>
      </c>
      <c r="I200" s="5">
        <v>3.0</v>
      </c>
      <c r="J200" s="5">
        <v>7.0</v>
      </c>
      <c r="K200" s="5">
        <v>0.0</v>
      </c>
      <c r="L200" s="6">
        <f t="shared" si="12"/>
        <v>0.3</v>
      </c>
      <c r="M200" s="5">
        <v>10.0</v>
      </c>
      <c r="N200" s="5">
        <v>0.0</v>
      </c>
      <c r="O200" s="5">
        <v>0.0</v>
      </c>
      <c r="P200" s="5">
        <v>0.0</v>
      </c>
      <c r="Q200" s="5">
        <v>0.0</v>
      </c>
      <c r="R200" s="5">
        <v>0.0</v>
      </c>
      <c r="S200" s="5">
        <v>0.0</v>
      </c>
      <c r="T200" s="6">
        <f t="shared" si="13"/>
        <v>0</v>
      </c>
      <c r="U200" s="16">
        <f t="shared" si="46"/>
        <v>10</v>
      </c>
      <c r="V200" s="16">
        <f t="shared" si="47"/>
        <v>0</v>
      </c>
      <c r="W200" s="16">
        <f t="shared" si="48"/>
        <v>0</v>
      </c>
      <c r="X200" s="6">
        <f t="shared" si="17"/>
        <v>1</v>
      </c>
    </row>
    <row r="201">
      <c r="A201" s="3" t="s">
        <v>56</v>
      </c>
      <c r="B201" s="3">
        <v>2011.0</v>
      </c>
      <c r="C201" s="3" t="s">
        <v>431</v>
      </c>
      <c r="D201" s="4" t="s">
        <v>432</v>
      </c>
      <c r="E201" s="4" t="s">
        <v>433</v>
      </c>
      <c r="F201" s="5" t="s">
        <v>434</v>
      </c>
      <c r="G201" s="6" t="str">
        <f>IFERROR(__xludf.DUMMYFUNCTION("""COMPUTED_VALUE"""),"Asm. Luis Alejo [D], Asm. Michael Allen [D], Asm. Robert Blumenfield [D], Asm. Julia Brownley [D], Asm. Joan Buchanan [D], Asm. Betsy Butler [D], Asm. Gilbert Cedillo [D], Asm. Wesley Chesbro [D], Asm. Roger Dickinson [D], Asm. Mike Feuer [D], Asm. Richar"&amp;"d Gordon [D], Asm. Jared Huffman [D], Sen. Holly Mitchell [D], Sen. William Monning [D], Asm. Sandre Swanson [D]")</f>
        <v>Asm. Luis Alejo [D], Asm. Michael Allen [D], Asm. Robert Blumenfield [D], Asm. Julia Brownley [D], Asm. Joan Buchanan [D], Asm. Betsy Butler [D], Asm. Gilbert Cedillo [D], Asm. Wesley Chesbro [D], Asm. Roger Dickinson [D], Asm. Mike Feuer [D], Asm. Richard Gordon [D], Asm. Jared Huffman [D], Sen. Holly Mitchell [D], Sen. William Monning [D], Asm. Sandre Swanson [D]</v>
      </c>
      <c r="H201" s="6">
        <f t="shared" si="23"/>
        <v>15</v>
      </c>
      <c r="I201" s="5">
        <v>4.0</v>
      </c>
      <c r="J201" s="5">
        <v>11.0</v>
      </c>
      <c r="K201" s="5">
        <v>0.0</v>
      </c>
      <c r="L201" s="6">
        <f t="shared" si="12"/>
        <v>0.2666666667</v>
      </c>
      <c r="M201" s="5">
        <v>11.0</v>
      </c>
      <c r="N201" s="5">
        <v>2.0</v>
      </c>
      <c r="O201" s="5">
        <v>2.0</v>
      </c>
      <c r="P201" s="5">
        <v>0.0</v>
      </c>
      <c r="Q201" s="5">
        <v>0.0</v>
      </c>
      <c r="R201" s="5">
        <v>0.0</v>
      </c>
      <c r="S201" s="5">
        <v>0.0</v>
      </c>
      <c r="T201" s="6">
        <f t="shared" si="13"/>
        <v>0.2666666667</v>
      </c>
      <c r="U201" s="5">
        <f t="shared" si="46"/>
        <v>15</v>
      </c>
      <c r="V201" s="5">
        <f t="shared" si="47"/>
        <v>0</v>
      </c>
      <c r="W201" s="5">
        <f t="shared" si="48"/>
        <v>0</v>
      </c>
      <c r="X201" s="6">
        <f t="shared" si="17"/>
        <v>1</v>
      </c>
    </row>
    <row r="202">
      <c r="A202" s="3" t="s">
        <v>125</v>
      </c>
      <c r="B202" s="3">
        <v>2011.0</v>
      </c>
      <c r="C202" s="3" t="s">
        <v>431</v>
      </c>
      <c r="D202" s="4" t="s">
        <v>425</v>
      </c>
      <c r="E202" s="4" t="s">
        <v>433</v>
      </c>
      <c r="F202" s="5" t="s">
        <v>435</v>
      </c>
      <c r="G202" s="6" t="str">
        <f>IFERROR(__xludf.DUMMYFUNCTION("""COMPUTED_VALUE"""),"Rep. Joseph Aresimowicz [D], Rep. David Baram [D], Rep. Elizabeth Boukus [D], Sen. Stephen Cassano [D], Sen. Joseph Crisco [D], Rep. Paul Davis [D], Sen. Mae Flexer [D], Sen. Edwin Gomes [D], Rep. Gregory Haddad [D], Sen. Toni Harp [D], House Insurance an"&amp;"d Real Estate Committee, Rep. David Kiner [D], Sen. John Kissel [R], Sen. Martin Looney [D], Sen. Edward Meyer [D], Rep. Russell Morin [D], Sen. Edith Prague [D], Sen. Gayle Slossberg [D], Sen. Donald Williams [D], Rep. Bruce Zalaski [D]")</f>
        <v>Rep. Joseph Aresimowicz [D], Rep. David Baram [D], Rep. Elizabeth Boukus [D], Sen. Stephen Cassano [D], Sen. Joseph Crisco [D], Rep. Paul Davis [D], Sen. Mae Flexer [D], Sen. Edwin Gomes [D], Rep. Gregory Haddad [D], Sen. Toni Harp [D], House Insurance and Real Estate Committee, Rep. David Kiner [D], Sen. John Kissel [R], Sen. Martin Looney [D], Sen. Edward Meyer [D], Rep. Russell Morin [D], Sen. Edith Prague [D], Sen. Gayle Slossberg [D], Sen. Donald Williams [D], Rep. Bruce Zalaski [D]</v>
      </c>
      <c r="H202" s="6">
        <f t="shared" si="23"/>
        <v>19</v>
      </c>
      <c r="I202" s="5">
        <v>5.0</v>
      </c>
      <c r="J202" s="5">
        <v>14.0</v>
      </c>
      <c r="K202" s="5">
        <v>0.0</v>
      </c>
      <c r="L202" s="6">
        <f t="shared" si="12"/>
        <v>0.2631578947</v>
      </c>
      <c r="M202" s="5">
        <v>17.0</v>
      </c>
      <c r="N202" s="5">
        <v>2.0</v>
      </c>
      <c r="O202" s="5">
        <v>0.0</v>
      </c>
      <c r="P202" s="5">
        <v>0.0</v>
      </c>
      <c r="Q202" s="5">
        <v>0.0</v>
      </c>
      <c r="R202" s="5">
        <v>0.0</v>
      </c>
      <c r="S202" s="5">
        <v>0.0</v>
      </c>
      <c r="T202" s="6">
        <f t="shared" si="13"/>
        <v>0.1052631579</v>
      </c>
      <c r="U202" s="5">
        <f t="shared" si="46"/>
        <v>18</v>
      </c>
      <c r="V202" s="5">
        <f t="shared" si="47"/>
        <v>1</v>
      </c>
      <c r="W202" s="5">
        <f t="shared" si="48"/>
        <v>0</v>
      </c>
      <c r="X202" s="6">
        <f t="shared" si="17"/>
        <v>0.9473684211</v>
      </c>
    </row>
    <row r="203">
      <c r="A203" s="3" t="s">
        <v>436</v>
      </c>
      <c r="B203" s="3">
        <v>2011.0</v>
      </c>
      <c r="C203" s="3" t="s">
        <v>25</v>
      </c>
      <c r="D203" s="4" t="s">
        <v>437</v>
      </c>
      <c r="E203" s="7" t="s">
        <v>208</v>
      </c>
      <c r="F203" s="5" t="s">
        <v>438</v>
      </c>
      <c r="G203" s="5" t="str">
        <f>IFERROR(__xludf.DUMMYFUNCTION("""COMPUTED_VALUE"""),"Sen. Beau McCoy [N]")</f>
        <v>Sen. Beau McCoy [N]</v>
      </c>
      <c r="H203" s="6">
        <f t="shared" si="23"/>
        <v>1</v>
      </c>
      <c r="I203" s="5">
        <v>0.0</v>
      </c>
      <c r="J203" s="5">
        <v>1.0</v>
      </c>
      <c r="K203" s="5">
        <v>0.0</v>
      </c>
      <c r="L203" s="6">
        <f t="shared" si="12"/>
        <v>0</v>
      </c>
      <c r="M203" s="5">
        <v>1.0</v>
      </c>
      <c r="N203" s="5">
        <v>0.0</v>
      </c>
      <c r="O203" s="5">
        <v>0.0</v>
      </c>
      <c r="P203" s="5">
        <v>0.0</v>
      </c>
      <c r="Q203" s="5">
        <v>0.0</v>
      </c>
      <c r="R203" s="5">
        <v>0.0</v>
      </c>
      <c r="S203" s="5">
        <v>0.0</v>
      </c>
      <c r="T203" s="6">
        <f t="shared" si="13"/>
        <v>0</v>
      </c>
      <c r="U203" s="5">
        <f t="shared" si="46"/>
        <v>0</v>
      </c>
      <c r="V203" s="5">
        <f t="shared" si="47"/>
        <v>0</v>
      </c>
      <c r="W203" s="5">
        <v>1.0</v>
      </c>
      <c r="X203" s="6">
        <f t="shared" si="17"/>
        <v>0</v>
      </c>
    </row>
    <row r="204">
      <c r="A204" s="3" t="s">
        <v>439</v>
      </c>
      <c r="B204" s="3">
        <v>2011.0</v>
      </c>
      <c r="C204" s="3" t="s">
        <v>25</v>
      </c>
      <c r="D204" s="4" t="s">
        <v>440</v>
      </c>
      <c r="E204" s="7" t="s">
        <v>179</v>
      </c>
      <c r="F204" s="5" t="s">
        <v>441</v>
      </c>
      <c r="G204" s="5" t="str">
        <f>IFERROR(__xludf.DUMMYFUNCTION("""COMPUTED_VALUE"""),"Sen. Spencer Berry [R], Sen. Randel Christmann [R], Rep. Bette Grande [R], Sen. David Hogue [R], Rep. Robert Kilichowski [D], Rep. Ralph Metcalf [D]")</f>
        <v>Sen. Spencer Berry [R], Sen. Randel Christmann [R], Rep. Bette Grande [R], Sen. David Hogue [R], Rep. Robert Kilichowski [D], Rep. Ralph Metcalf [D]</v>
      </c>
      <c r="H204" s="6">
        <f t="shared" si="23"/>
        <v>6</v>
      </c>
      <c r="I204" s="5">
        <v>1.0</v>
      </c>
      <c r="J204" s="5">
        <v>5.0</v>
      </c>
      <c r="K204" s="5">
        <v>0.0</v>
      </c>
      <c r="L204" s="6">
        <f t="shared" si="12"/>
        <v>0.1666666667</v>
      </c>
      <c r="M204" s="5">
        <v>6.0</v>
      </c>
      <c r="N204" s="5">
        <v>0.0</v>
      </c>
      <c r="O204" s="5">
        <v>0.0</v>
      </c>
      <c r="P204" s="5">
        <v>0.0</v>
      </c>
      <c r="Q204" s="5">
        <v>0.0</v>
      </c>
      <c r="R204" s="5">
        <v>0.0</v>
      </c>
      <c r="S204" s="5">
        <v>0.0</v>
      </c>
      <c r="T204" s="6">
        <f t="shared" si="13"/>
        <v>0</v>
      </c>
      <c r="U204" s="7">
        <f t="shared" si="46"/>
        <v>2</v>
      </c>
      <c r="V204" s="7">
        <f t="shared" si="47"/>
        <v>4</v>
      </c>
      <c r="W204" s="7">
        <f t="shared" ref="W204:W212" si="49">IF(G204 = "", "", (LEN(G204) - LEN(SUBSTITUTE(G204, "[I]", ""))) / 3)</f>
        <v>0</v>
      </c>
      <c r="X204" s="6">
        <f t="shared" si="17"/>
        <v>0.3333333333</v>
      </c>
    </row>
    <row r="205">
      <c r="A205" s="3" t="s">
        <v>442</v>
      </c>
      <c r="B205" s="3">
        <v>2011.0</v>
      </c>
      <c r="C205" s="3" t="s">
        <v>25</v>
      </c>
      <c r="D205" s="4" t="s">
        <v>443</v>
      </c>
      <c r="E205" s="7" t="s">
        <v>179</v>
      </c>
      <c r="F205" s="5" t="s">
        <v>444</v>
      </c>
      <c r="G205" s="5" t="str">
        <f>IFERROR(__xludf.DUMMYFUNCTION("""COMPUTED_VALUE"""),"Rep. John Adams [R], Rep. Richard Adams [R], Rep. Ron Amstutz [R], Sen. Kevin Bacon [R], Rep. William Batchelder [R], Rep. Peter Beck [R], Rep. Terry Blair [R], Rep. Terry Boose [R], Sen. Andrew Brenner [R], Rep. Danny Bubp [R], Rep. Jim Buchy [R], Sen. D"&amp;"ave Burke [R], Sen. Dave Burke [R], Rep. James Butler [R], Rep. John Carey [R], Sen. William Coley [R], Rep. Courtney Combs [R], Rep. Margaret Conditt [R], Rep. Timothy Derickson [R], Rep. Michael Dovilla [R], Sen. John Eklund [R], Rep. Keith Faber [R], S"&amp;"en. Randall Gardner [R], Rep. Bruce Goodwin [R], Rep. Cheryl Grossman [R], Sen. Robert Hackett [R], Rep. Christina Hagan [R], Rep. David Hall [R], Rep. Bill Hayes [R], Rep. Michael Henne [R], Sen. Cliff Hite [R], Sen. Jay Hottinger [R], Rep. Matt Huffman "&amp;"[R], Sen. Terry Johnson [R], Sen. Shannon Jones [R], Rep. Kris Jordan [R], Rep. Ron Maag [R], Rep. Jarrod Martin [R], Rep. Jeffrey McClain [R], Rep. Robery Mecklenborg [R], Rep. Craig Newbold [R], Rep. Scott Oelslager [R], Sen. Kristina Roegner [R], Rep. "&amp;"Clifford Rosenberger [R], Rep. Margaret Ruhl [R], Sen. Timothy Schaffer [R], Rep. Barbara Sears [R], Rep. Lynn Slaby [R], Rep. Peter Stautberg [R], Rep. Andy Thompson [R], Sen. Joseph Uecker [R], Rep. Lynn Wachtmann [R], Sen. Mark Wagoner [R], Sen. Christ"&amp;"opher Widener [R], Rep. Ron Young [R]")</f>
        <v>Rep. John Adams [R], Rep. Richard Adams [R], Rep. Ron Amstutz [R], Sen. Kevin Bacon [R], Rep. William Batchelder [R], Rep. Peter Beck [R], Rep. Terry Blair [R], Rep. Terry Boose [R], Sen. Andrew Brenner [R], Rep. Danny Bubp [R], Rep. Jim Buchy [R], Sen. Dave Burke [R], Sen. Dave Burke [R], Rep. James Butler [R], Rep. John Carey [R], Sen. William Coley [R], Rep. Courtney Combs [R], Rep. Margaret Conditt [R], Rep. Timothy Derickson [R], Rep. Michael Dovilla [R], Sen. John Eklund [R], Rep. Keith Faber [R], Sen. Randall Gardner [R], Rep. Bruce Goodwin [R], Rep. Cheryl Grossman [R], Sen. Robert Hackett [R], Rep. Christina Hagan [R], Rep. David Hall [R], Rep. Bill Hayes [R], Rep. Michael Henne [R], Sen. Cliff Hite [R], Sen. Jay Hottinger [R], Rep. Matt Huffman [R], Sen. Terry Johnson [R], Sen. Shannon Jones [R], Rep. Kris Jordan [R], Rep. Ron Maag [R], Rep. Jarrod Martin [R], Rep. Jeffrey McClain [R], Rep. Robery Mecklenborg [R], Rep. Craig Newbold [R], Rep. Scott Oelslager [R], Sen. Kristina Roegner [R], Rep. Clifford Rosenberger [R], Rep. Margaret Ruhl [R], Sen. Timothy Schaffer [R], Rep. Barbara Sears [R], Rep. Lynn Slaby [R], Rep. Peter Stautberg [R], Rep. Andy Thompson [R], Sen. Joseph Uecker [R], Rep. Lynn Wachtmann [R], Sen. Mark Wagoner [R], Sen. Christopher Widener [R], Rep. Ron Young [R]</v>
      </c>
      <c r="H205" s="6">
        <f t="shared" si="23"/>
        <v>55</v>
      </c>
      <c r="I205" s="5">
        <v>8.0</v>
      </c>
      <c r="J205" s="5">
        <v>47.0</v>
      </c>
      <c r="K205" s="5">
        <v>0.0</v>
      </c>
      <c r="L205" s="6">
        <f t="shared" si="12"/>
        <v>0.1454545455</v>
      </c>
      <c r="M205" s="5">
        <v>55.0</v>
      </c>
      <c r="N205" s="5">
        <v>0.0</v>
      </c>
      <c r="O205" s="5">
        <v>0.0</v>
      </c>
      <c r="P205" s="5">
        <v>0.0</v>
      </c>
      <c r="Q205" s="5">
        <v>0.0</v>
      </c>
      <c r="R205" s="5">
        <v>0.0</v>
      </c>
      <c r="S205" s="5">
        <v>0.0</v>
      </c>
      <c r="T205" s="6">
        <f t="shared" si="13"/>
        <v>0</v>
      </c>
      <c r="U205" s="7">
        <f t="shared" si="46"/>
        <v>0</v>
      </c>
      <c r="V205" s="7">
        <f t="shared" si="47"/>
        <v>55</v>
      </c>
      <c r="W205" s="7">
        <f t="shared" si="49"/>
        <v>0</v>
      </c>
      <c r="X205" s="6">
        <f t="shared" si="17"/>
        <v>0</v>
      </c>
    </row>
    <row r="206">
      <c r="A206" s="3" t="s">
        <v>76</v>
      </c>
      <c r="B206" s="3">
        <v>2011.0</v>
      </c>
      <c r="C206" s="3" t="s">
        <v>25</v>
      </c>
      <c r="D206" s="4" t="s">
        <v>445</v>
      </c>
      <c r="E206" s="7" t="s">
        <v>179</v>
      </c>
      <c r="F206" s="5" t="s">
        <v>446</v>
      </c>
      <c r="G206" s="5" t="str">
        <f>IFERROR(__xludf.DUMMYFUNCTION("""COMPUTED_VALUE"""),"Rep. David Brumbaugh [R], Rep. Mike Christian [R], Rep. David Derby [R], Rep. George Faught [R], Sen. Rob Johnson [R], Rep. Sally Kern [R], Rep. Pam Peterson [R], Sen. Jim Reynolds [R], Rep. Mike Ritze [R], Sen. Anthony Sykes [R]")</f>
        <v>Rep. David Brumbaugh [R], Rep. Mike Christian [R], Rep. David Derby [R], Rep. George Faught [R], Sen. Rob Johnson [R], Rep. Sally Kern [R], Rep. Pam Peterson [R], Sen. Jim Reynolds [R], Rep. Mike Ritze [R], Sen. Anthony Sykes [R]</v>
      </c>
      <c r="H206" s="6">
        <f t="shared" si="23"/>
        <v>10</v>
      </c>
      <c r="I206" s="5">
        <v>2.0</v>
      </c>
      <c r="J206" s="5">
        <v>8.0</v>
      </c>
      <c r="K206" s="5">
        <v>0.0</v>
      </c>
      <c r="L206" s="6">
        <f t="shared" si="12"/>
        <v>0.2</v>
      </c>
      <c r="M206" s="5">
        <v>10.0</v>
      </c>
      <c r="N206" s="5">
        <v>0.0</v>
      </c>
      <c r="O206" s="5">
        <v>0.0</v>
      </c>
      <c r="P206" s="5">
        <v>0.0</v>
      </c>
      <c r="Q206" s="5">
        <v>0.0</v>
      </c>
      <c r="R206" s="5">
        <v>0.0</v>
      </c>
      <c r="S206" s="5">
        <v>0.0</v>
      </c>
      <c r="T206" s="6">
        <f t="shared" si="13"/>
        <v>0</v>
      </c>
      <c r="U206" s="7">
        <f t="shared" si="46"/>
        <v>0</v>
      </c>
      <c r="V206" s="7">
        <f t="shared" si="47"/>
        <v>10</v>
      </c>
      <c r="W206" s="7">
        <f t="shared" si="49"/>
        <v>0</v>
      </c>
      <c r="X206" s="6">
        <f t="shared" si="17"/>
        <v>0</v>
      </c>
    </row>
    <row r="207">
      <c r="A207" s="3" t="s">
        <v>59</v>
      </c>
      <c r="B207" s="3">
        <v>2010.0</v>
      </c>
      <c r="C207" s="3" t="s">
        <v>147</v>
      </c>
      <c r="D207" s="7" t="s">
        <v>116</v>
      </c>
      <c r="E207" s="3" t="s">
        <v>447</v>
      </c>
      <c r="F207" s="5" t="s">
        <v>448</v>
      </c>
      <c r="G207" s="6" t="str">
        <f>IFERROR(__xludf.DUMMYFUNCTION("""COMPUTED_VALUE"""),"Sen. Linda Berglin [D]")</f>
        <v>Sen. Linda Berglin [D]</v>
      </c>
      <c r="H207" s="6">
        <f t="shared" si="23"/>
        <v>1</v>
      </c>
      <c r="I207" s="5">
        <v>1.0</v>
      </c>
      <c r="J207" s="5">
        <v>0.0</v>
      </c>
      <c r="K207" s="5">
        <v>0.0</v>
      </c>
      <c r="L207" s="6">
        <f t="shared" si="12"/>
        <v>1</v>
      </c>
      <c r="M207" s="5">
        <v>1.0</v>
      </c>
      <c r="N207" s="5">
        <v>0.0</v>
      </c>
      <c r="O207" s="5">
        <v>0.0</v>
      </c>
      <c r="P207" s="5">
        <v>0.0</v>
      </c>
      <c r="Q207" s="5">
        <v>0.0</v>
      </c>
      <c r="R207" s="5">
        <v>0.0</v>
      </c>
      <c r="S207" s="5">
        <v>0.0</v>
      </c>
      <c r="T207" s="6">
        <f t="shared" si="13"/>
        <v>0</v>
      </c>
      <c r="U207" s="5">
        <f t="shared" si="46"/>
        <v>1</v>
      </c>
      <c r="V207" s="5">
        <f t="shared" si="47"/>
        <v>0</v>
      </c>
      <c r="W207" s="5">
        <f t="shared" si="49"/>
        <v>0</v>
      </c>
      <c r="X207" s="6">
        <f t="shared" si="17"/>
        <v>1</v>
      </c>
    </row>
    <row r="208">
      <c r="A208" s="3" t="s">
        <v>38</v>
      </c>
      <c r="B208" s="3">
        <v>2010.0</v>
      </c>
      <c r="C208" s="3" t="s">
        <v>25</v>
      </c>
      <c r="D208" s="4" t="s">
        <v>449</v>
      </c>
      <c r="E208" s="4" t="s">
        <v>450</v>
      </c>
      <c r="F208" s="5" t="s">
        <v>451</v>
      </c>
      <c r="G208" s="5" t="str">
        <f>IFERROR(__xludf.DUMMYFUNCTION("""COMPUTED_VALUE"""),"Sen. Sylvia Allen [R], Sen. Frank Antenori [R], Rep. Judy Burges [R], Sen. Adam Driggs [R], Sen. David Gowan [R], Sen. Linda Gray [R], Rep. Jack Harper [R], Sen. Debbie Lesko [R], Sen. Albert Melvin [R], Rep. Steve Montenegro [R], Rep. Warde Nichols [R], "&amp;"Sen. Russell Pearce [R], Rep. David Stevens [R], Sen. Thayer Verschoor [R], Rep. James Weiers [R]")</f>
        <v>Sen. Sylvia Allen [R], Sen. Frank Antenori [R], Rep. Judy Burges [R], Sen. Adam Driggs [R], Sen. David Gowan [R], Sen. Linda Gray [R], Rep. Jack Harper [R], Sen. Debbie Lesko [R], Sen. Albert Melvin [R], Rep. Steve Montenegro [R], Rep. Warde Nichols [R], Sen. Russell Pearce [R], Rep. David Stevens [R], Sen. Thayer Verschoor [R], Rep. James Weiers [R]</v>
      </c>
      <c r="H208" s="6">
        <f t="shared" si="23"/>
        <v>15</v>
      </c>
      <c r="I208" s="5">
        <v>4.0</v>
      </c>
      <c r="J208" s="5">
        <v>11.0</v>
      </c>
      <c r="K208" s="5">
        <v>0.0</v>
      </c>
      <c r="L208" s="6">
        <f t="shared" si="12"/>
        <v>0.2666666667</v>
      </c>
      <c r="M208" s="5">
        <v>14.0</v>
      </c>
      <c r="N208" s="5">
        <v>0.0</v>
      </c>
      <c r="O208" s="5">
        <v>1.0</v>
      </c>
      <c r="P208" s="5">
        <v>0.0</v>
      </c>
      <c r="Q208" s="5">
        <v>0.0</v>
      </c>
      <c r="R208" s="5">
        <v>0.0</v>
      </c>
      <c r="S208" s="5">
        <v>0.0</v>
      </c>
      <c r="T208" s="6">
        <f t="shared" si="13"/>
        <v>0.06666666667</v>
      </c>
      <c r="U208" s="5">
        <f t="shared" si="46"/>
        <v>0</v>
      </c>
      <c r="V208" s="5">
        <f t="shared" si="47"/>
        <v>15</v>
      </c>
      <c r="W208" s="5">
        <f t="shared" si="49"/>
        <v>0</v>
      </c>
      <c r="X208" s="6">
        <f t="shared" si="17"/>
        <v>0</v>
      </c>
    </row>
    <row r="209">
      <c r="A209" s="3" t="s">
        <v>153</v>
      </c>
      <c r="B209" s="3">
        <v>2010.0</v>
      </c>
      <c r="C209" s="3" t="s">
        <v>25</v>
      </c>
      <c r="D209" s="4" t="s">
        <v>452</v>
      </c>
      <c r="E209" s="7" t="s">
        <v>453</v>
      </c>
      <c r="F209" s="5" t="s">
        <v>454</v>
      </c>
      <c r="G209" s="5" t="str">
        <f>IFERROR(__xludf.DUMMYFUNCTION("""COMPUTED_VALUE"""),"Sen. Robert Adley [R], Sen. John Alario [R], Sen. Conrad Appel [R], Rep. James Armes [D], Rep. Bobby Badon [D], Rep. Damon Baldone [D], Rep. Taylor Barras [R], Sen. Regina Barrow [D], Rep. Robert Billiot [D], Sen. Sharon Broome [D], Rep. Richard Burford ["&amp;"R], Rep. Henry Burns [R], Rep. Timothy Burns [R], Rep. Thomas Carmody [R], Rep. Simone Champagne [R], Rep. Billy Chandler [D], Rep. Charles Chaney [R], Sen. Patrick Connick [R], Sen. Patrick Cortez [R], Rep. George Cromer [R], Rep. Michael Danahay [D], Se"&amp;"n. Jack Donahue [R], Rep. Gordon Dove [R], Rep. Hollis Downs [R], Sen. Ann Duplessis [D], Rep. Noble Ellington [D], Sen. Dale Erdey [R], Sen. James Fannin [R], Sen. Nicholas Gautreaux [D], Rep. Brett Geymann [R], Rep. Jerry Gisclair [D], Rep. Hunter Green"&amp;"e [R], Sen. Elbert Guillory [D], Rep. Mickey Guillory [D], Rep. John Guinn [R], Rep. Rickey Hardy [D], Rep. Joseph Harrison [R], Rep. Lowell Hazel [R], Sen. Troy Hebert [D], Rep. Reed Henderson [D], Sen. Cameron Henry [R], Rep. Dorothy Hill [D], Rep. Walk"&amp;"er Hines [D], Rep. Frank Hoffmann [R], Rep. Frank Howard [R], Rep. Kay Katz [R], Rep. Charles Kleckley [R], Sen. Robert Kostelka [R], Rep. John LaBruzzo [R], Sen. Eddie Lambert [R], Rep. Bernard LeBas [D], Rep. Anthony Ligi [R], Rep. Samuel Little [R], Se"&amp;"n. Gerald Long [R], Rep. Joseph Lopinto [R], Rep. Nicholas Lorusso [R], Sen. Daniel Martiny [R], Sen. Michael Michot [R], Sen. Fred Mills [R], Rep. Nickie Monica [R], Rep. Jack Montoucet [D], Rep. James Morris [R], Sen. Dan Morrish [R], Sen. Willie Mount "&amp;"[D], Sen. Ben Nevers [D], Rep. Kevin Pearson [R], Sen. Jonathan Perry [R], Sen. Rogers Pope [R], Rep. Stephen Pugh [R], Sen. Julie Quinn [R], Rep. Jerome Richard [I], Rep. Clifton Richardson [R], Rep. Neil Riser [R], Rep. Harold Ritchie [D], Rep. John Sch"&amp;"roder [R], Sen. B.L. Shaw [R], Rep. Scott Simon [R], Rep. M.J. Smiley [R], Rep. Jane Smith [R], Sen. John Smith [R], Sen. Kirk Talbot [R], Rep. Ricky Templet [R], Rep. Major Thibaut [D], Rep. Francis Thompson [R], Rep. Jim Tucker [R], Sen. Michael Walswor"&amp;"th [R], Sen. Mack White [R], Rep. Patrick Williams [D], Rep. Thomas Willmott [R], Rep. Ernest Wooton [R]")</f>
        <v>Sen. Robert Adley [R], Sen. John Alario [R], Sen. Conrad Appel [R], Rep. James Armes [D], Rep. Bobby Badon [D], Rep. Damon Baldone [D], Rep. Taylor Barras [R], Sen. Regina Barrow [D], Rep. Robert Billiot [D], Sen. Sharon Broome [D], Rep. Richard Burford [R], Rep. Henry Burns [R], Rep. Timothy Burns [R], Rep. Thomas Carmody [R], Rep. Simone Champagne [R], Rep. Billy Chandler [D], Rep. Charles Chaney [R], Sen. Patrick Connick [R], Sen. Patrick Cortez [R], Rep. George Cromer [R], Rep. Michael Danahay [D], Sen. Jack Donahue [R], Rep. Gordon Dove [R], Rep. Hollis Downs [R], Sen. Ann Duplessis [D], Rep. Noble Ellington [D], Sen. Dale Erdey [R], Sen. James Fannin [R], Sen. Nicholas Gautreaux [D], Rep. Brett Geymann [R], Rep. Jerry Gisclair [D], Rep. Hunter Greene [R], Sen. Elbert Guillory [D], Rep. Mickey Guillory [D], Rep. John Guinn [R], Rep. Rickey Hardy [D], Rep. Joseph Harrison [R], Rep. Lowell Hazel [R], Sen. Troy Hebert [D], Rep. Reed Henderson [D], Sen. Cameron Henry [R], Rep. Dorothy Hill [D], Rep. Walker Hines [D], Rep. Frank Hoffmann [R], Rep. Frank Howard [R], Rep. Kay Katz [R], Rep. Charles Kleckley [R], Sen. Robert Kostelka [R], Rep. John LaBruzzo [R], Sen. Eddie Lambert [R], Rep. Bernard LeBas [D], Rep. Anthony Ligi [R], Rep. Samuel Little [R], Sen. Gerald Long [R], Rep. Joseph Lopinto [R], Rep. Nicholas Lorusso [R], Sen. Daniel Martiny [R], Sen. Michael Michot [R], Sen. Fred Mills [R], Rep. Nickie Monica [R], Rep. Jack Montoucet [D], Rep. James Morris [R], Sen. Dan Morrish [R], Sen. Willie Mount [D], Sen. Ben Nevers [D], Rep. Kevin Pearson [R], Sen. Jonathan Perry [R], Sen. Rogers Pope [R], Rep. Stephen Pugh [R], Sen. Julie Quinn [R], Rep. Jerome Richard [I], Rep. Clifton Richardson [R], Rep. Neil Riser [R], Rep. Harold Ritchie [D], Rep. John Schroder [R], Sen. B.L. Shaw [R], Rep. Scott Simon [R], Rep. M.J. Smiley [R], Rep. Jane Smith [R], Sen. John Smith [R], Sen. Kirk Talbot [R], Rep. Ricky Templet [R], Rep. Major Thibaut [D], Rep. Francis Thompson [R], Rep. Jim Tucker [R], Sen. Michael Walsworth [R], Sen. Mack White [R], Rep. Patrick Williams [D], Rep. Thomas Willmott [R], Rep. Ernest Wooton [R]</v>
      </c>
      <c r="H209" s="6">
        <f t="shared" si="23"/>
        <v>90</v>
      </c>
      <c r="I209" s="5">
        <v>7.0</v>
      </c>
      <c r="J209" s="5">
        <v>83.0</v>
      </c>
      <c r="K209" s="5">
        <v>0.0</v>
      </c>
      <c r="L209" s="6">
        <f t="shared" si="12"/>
        <v>0.07777777778</v>
      </c>
      <c r="M209" s="5">
        <v>83.0</v>
      </c>
      <c r="N209" s="5">
        <v>0.0</v>
      </c>
      <c r="O209" s="5">
        <v>0.0</v>
      </c>
      <c r="P209" s="5">
        <v>0.0</v>
      </c>
      <c r="Q209" s="5">
        <v>0.0</v>
      </c>
      <c r="R209" s="5">
        <v>0.0</v>
      </c>
      <c r="S209" s="5">
        <v>0.0</v>
      </c>
      <c r="T209" s="6">
        <f t="shared" si="13"/>
        <v>0</v>
      </c>
      <c r="U209" s="5">
        <f t="shared" si="46"/>
        <v>26</v>
      </c>
      <c r="V209" s="5">
        <f t="shared" si="47"/>
        <v>63</v>
      </c>
      <c r="W209" s="5">
        <f t="shared" si="49"/>
        <v>1</v>
      </c>
      <c r="X209" s="6">
        <f t="shared" si="17"/>
        <v>0.2888888889</v>
      </c>
    </row>
    <row r="210">
      <c r="A210" s="3" t="s">
        <v>455</v>
      </c>
      <c r="B210" s="3">
        <v>2010.0</v>
      </c>
      <c r="C210" s="3" t="s">
        <v>25</v>
      </c>
      <c r="D210" s="4" t="s">
        <v>456</v>
      </c>
      <c r="E210" s="7" t="s">
        <v>453</v>
      </c>
      <c r="F210" s="5" t="s">
        <v>457</v>
      </c>
      <c r="G210" s="5" t="str">
        <f>IFERROR(__xludf.DUMMYFUNCTION("""COMPUTED_VALUE"""),"Sen. Billy Hewes [R], Sen. Alan Nunnelee [R]")</f>
        <v>Sen. Billy Hewes [R], Sen. Alan Nunnelee [R]</v>
      </c>
      <c r="H210" s="6">
        <f t="shared" si="23"/>
        <v>2</v>
      </c>
      <c r="I210" s="5">
        <v>0.0</v>
      </c>
      <c r="J210" s="5">
        <v>2.0</v>
      </c>
      <c r="K210" s="5">
        <v>0.0</v>
      </c>
      <c r="L210" s="6">
        <f t="shared" si="12"/>
        <v>0</v>
      </c>
      <c r="M210" s="5">
        <v>2.0</v>
      </c>
      <c r="N210" s="5">
        <v>0.0</v>
      </c>
      <c r="O210" s="5">
        <v>0.0</v>
      </c>
      <c r="P210" s="5">
        <v>0.0</v>
      </c>
      <c r="Q210" s="5">
        <v>0.0</v>
      </c>
      <c r="R210" s="5">
        <v>0.0</v>
      </c>
      <c r="S210" s="5">
        <v>0.0</v>
      </c>
      <c r="T210" s="6">
        <f t="shared" si="13"/>
        <v>0</v>
      </c>
      <c r="U210" s="5">
        <f t="shared" si="46"/>
        <v>0</v>
      </c>
      <c r="V210" s="5">
        <f t="shared" si="47"/>
        <v>2</v>
      </c>
      <c r="W210" s="5">
        <f t="shared" si="49"/>
        <v>0</v>
      </c>
      <c r="X210" s="6">
        <f t="shared" si="17"/>
        <v>0</v>
      </c>
    </row>
    <row r="211">
      <c r="A211" s="3" t="s">
        <v>458</v>
      </c>
      <c r="B211" s="3">
        <v>2010.0</v>
      </c>
      <c r="C211" s="3" t="s">
        <v>25</v>
      </c>
      <c r="D211" s="4" t="s">
        <v>459</v>
      </c>
      <c r="E211" s="7" t="s">
        <v>460</v>
      </c>
      <c r="F211" s="5" t="s">
        <v>461</v>
      </c>
      <c r="G211" s="5" t="str">
        <f>IFERROR(__xludf.DUMMYFUNCTION("""COMPUTED_VALUE"""),"Sen. Tom Dempsey [R], Sen. Jim Lembke [R], Sen. Robert Mayer [R], Sen. Gary Nodler [R], Rep. Bryan Pratt [R], Sen. Scott Rupp [R], Sen. William Stouffer [R]")</f>
        <v>Sen. Tom Dempsey [R], Sen. Jim Lembke [R], Sen. Robert Mayer [R], Sen. Gary Nodler [R], Rep. Bryan Pratt [R], Sen. Scott Rupp [R], Sen. William Stouffer [R]</v>
      </c>
      <c r="H211" s="6">
        <f t="shared" si="23"/>
        <v>7</v>
      </c>
      <c r="I211" s="5">
        <v>0.0</v>
      </c>
      <c r="J211" s="5">
        <v>7.0</v>
      </c>
      <c r="K211" s="5">
        <v>0.0</v>
      </c>
      <c r="L211" s="6">
        <f t="shared" si="12"/>
        <v>0</v>
      </c>
      <c r="M211" s="5">
        <v>5.0</v>
      </c>
      <c r="N211" s="5">
        <v>0.0</v>
      </c>
      <c r="O211" s="5">
        <v>1.0</v>
      </c>
      <c r="P211" s="5">
        <v>0.0</v>
      </c>
      <c r="Q211" s="5">
        <v>0.0</v>
      </c>
      <c r="R211" s="5">
        <v>0.0</v>
      </c>
      <c r="S211" s="5">
        <v>0.0</v>
      </c>
      <c r="T211" s="6">
        <f t="shared" si="13"/>
        <v>0.1428571429</v>
      </c>
      <c r="U211" s="5">
        <f t="shared" si="46"/>
        <v>0</v>
      </c>
      <c r="V211" s="5">
        <f t="shared" si="47"/>
        <v>7</v>
      </c>
      <c r="W211" s="5">
        <f t="shared" si="49"/>
        <v>0</v>
      </c>
      <c r="X211" s="6">
        <f t="shared" si="17"/>
        <v>0</v>
      </c>
    </row>
    <row r="212">
      <c r="A212" s="3" t="s">
        <v>48</v>
      </c>
      <c r="B212" s="3">
        <v>2010.0</v>
      </c>
      <c r="C212" s="3" t="s">
        <v>25</v>
      </c>
      <c r="D212" s="4" t="s">
        <v>462</v>
      </c>
      <c r="E212" s="7" t="s">
        <v>460</v>
      </c>
      <c r="F212" s="5" t="s">
        <v>463</v>
      </c>
      <c r="G212" s="5" t="str">
        <f>IFERROR(__xludf.DUMMYFUNCTION("""COMPUTED_VALUE"""),"Rep. Timothy Hill [R]")</f>
        <v>Rep. Timothy Hill [R]</v>
      </c>
      <c r="H212" s="6">
        <f t="shared" si="23"/>
        <v>1</v>
      </c>
      <c r="I212" s="5">
        <v>0.0</v>
      </c>
      <c r="J212" s="5">
        <v>1.0</v>
      </c>
      <c r="K212" s="5">
        <v>0.0</v>
      </c>
      <c r="L212" s="6">
        <f t="shared" si="12"/>
        <v>0</v>
      </c>
      <c r="M212" s="5">
        <v>1.0</v>
      </c>
      <c r="N212" s="5">
        <v>0.0</v>
      </c>
      <c r="O212" s="5">
        <v>0.0</v>
      </c>
      <c r="P212" s="5">
        <v>0.0</v>
      </c>
      <c r="Q212" s="5">
        <v>0.0</v>
      </c>
      <c r="R212" s="5">
        <v>0.0</v>
      </c>
      <c r="S212" s="5">
        <v>0.0</v>
      </c>
      <c r="T212" s="6">
        <f t="shared" si="13"/>
        <v>0</v>
      </c>
      <c r="U212" s="7">
        <f t="shared" si="46"/>
        <v>0</v>
      </c>
      <c r="V212" s="7">
        <f t="shared" si="47"/>
        <v>1</v>
      </c>
      <c r="W212" s="7">
        <f t="shared" si="49"/>
        <v>0</v>
      </c>
      <c r="X212" s="6">
        <f t="shared" si="17"/>
        <v>0</v>
      </c>
    </row>
    <row r="213" hidden="1">
      <c r="A213" s="6"/>
      <c r="B213" s="6"/>
      <c r="C213" s="6"/>
      <c r="D213" s="6"/>
      <c r="E213" s="6"/>
      <c r="F213" s="6"/>
      <c r="G213" s="6" t="str">
        <f>IFERROR(__xludf.DUMMYFUNCTION("""COMPUTED_VALUE"""),"")</f>
        <v/>
      </c>
      <c r="H213" s="6"/>
      <c r="I213" s="6"/>
      <c r="J213" s="6"/>
      <c r="K213" s="6"/>
      <c r="L213" s="6"/>
      <c r="M213" s="6"/>
      <c r="N213" s="6"/>
      <c r="O213" s="6"/>
      <c r="P213" s="6"/>
      <c r="Q213" s="6"/>
      <c r="R213" s="6"/>
      <c r="S213" s="6"/>
      <c r="T213" s="6"/>
      <c r="U213" s="6"/>
      <c r="V213" s="6"/>
      <c r="W213" s="6"/>
      <c r="X213" s="6"/>
    </row>
    <row r="214" hidden="1">
      <c r="A214" s="6"/>
      <c r="B214" s="6"/>
      <c r="C214" s="6"/>
      <c r="D214" s="6"/>
      <c r="E214" s="6"/>
      <c r="F214" s="6"/>
      <c r="G214" s="6" t="str">
        <f>IFERROR(__xludf.DUMMYFUNCTION("""COMPUTED_VALUE"""),"")</f>
        <v/>
      </c>
      <c r="H214" s="6"/>
      <c r="I214" s="6"/>
      <c r="J214" s="6"/>
      <c r="K214" s="6"/>
      <c r="L214" s="6"/>
      <c r="M214" s="6"/>
      <c r="N214" s="6"/>
      <c r="O214" s="6"/>
      <c r="P214" s="6"/>
      <c r="Q214" s="6"/>
      <c r="R214" s="6"/>
      <c r="S214" s="6"/>
      <c r="T214" s="6"/>
      <c r="U214" s="6"/>
      <c r="V214" s="6"/>
      <c r="W214" s="6"/>
      <c r="X214" s="6"/>
    </row>
    <row r="215" hidden="1">
      <c r="A215" s="6"/>
      <c r="B215" s="6"/>
      <c r="C215" s="6"/>
      <c r="D215" s="6"/>
      <c r="E215" s="6"/>
      <c r="F215" s="6"/>
      <c r="G215" s="6" t="str">
        <f>IFERROR(__xludf.DUMMYFUNCTION("""COMPUTED_VALUE"""),"")</f>
        <v/>
      </c>
      <c r="H215" s="6"/>
      <c r="I215" s="6"/>
      <c r="J215" s="6"/>
      <c r="K215" s="6"/>
      <c r="L215" s="6"/>
      <c r="M215" s="6"/>
      <c r="N215" s="6"/>
      <c r="O215" s="6"/>
      <c r="P215" s="6"/>
      <c r="Q215" s="6"/>
      <c r="R215" s="6"/>
      <c r="S215" s="6"/>
      <c r="T215" s="6"/>
      <c r="U215" s="6"/>
      <c r="V215" s="6"/>
      <c r="W215" s="6"/>
      <c r="X215" s="6"/>
    </row>
    <row r="216" hidden="1">
      <c r="A216" s="6"/>
      <c r="B216" s="6"/>
      <c r="C216" s="6"/>
      <c r="D216" s="6"/>
      <c r="E216" s="6"/>
      <c r="F216" s="6"/>
      <c r="G216" s="6" t="str">
        <f>IFERROR(__xludf.DUMMYFUNCTION("""COMPUTED_VALUE"""),"")</f>
        <v/>
      </c>
      <c r="H216" s="6"/>
      <c r="I216" s="6"/>
      <c r="J216" s="6"/>
      <c r="K216" s="6"/>
      <c r="L216" s="6"/>
      <c r="M216" s="6"/>
      <c r="N216" s="6"/>
      <c r="O216" s="6"/>
      <c r="P216" s="6"/>
      <c r="Q216" s="6"/>
      <c r="R216" s="6"/>
      <c r="S216" s="6"/>
      <c r="T216" s="6"/>
      <c r="U216" s="6"/>
      <c r="V216" s="6"/>
      <c r="W216" s="6"/>
      <c r="X216" s="6"/>
    </row>
    <row r="217" hidden="1">
      <c r="A217" s="6"/>
      <c r="B217" s="6"/>
      <c r="C217" s="6"/>
      <c r="D217" s="6"/>
      <c r="E217" s="6"/>
      <c r="F217" s="6"/>
      <c r="G217" s="6" t="str">
        <f>IFERROR(__xludf.DUMMYFUNCTION("""COMPUTED_VALUE"""),"")</f>
        <v/>
      </c>
      <c r="H217" s="6"/>
      <c r="I217" s="6"/>
      <c r="J217" s="6"/>
      <c r="K217" s="6"/>
      <c r="L217" s="6"/>
      <c r="M217" s="6"/>
      <c r="N217" s="6"/>
      <c r="O217" s="6"/>
      <c r="P217" s="6"/>
      <c r="Q217" s="6"/>
      <c r="R217" s="6"/>
      <c r="S217" s="6"/>
      <c r="T217" s="6"/>
      <c r="U217" s="6"/>
      <c r="V217" s="6"/>
      <c r="W217" s="6"/>
      <c r="X217" s="6"/>
    </row>
    <row r="218" hidden="1">
      <c r="A218" s="6"/>
      <c r="B218" s="6"/>
      <c r="C218" s="6"/>
      <c r="D218" s="6"/>
      <c r="E218" s="6"/>
      <c r="F218" s="6"/>
      <c r="G218" s="6" t="str">
        <f>IFERROR(__xludf.DUMMYFUNCTION("""COMPUTED_VALUE"""),"")</f>
        <v/>
      </c>
      <c r="H218" s="6"/>
      <c r="I218" s="6"/>
      <c r="J218" s="6"/>
      <c r="K218" s="6"/>
      <c r="L218" s="6"/>
      <c r="M218" s="6"/>
      <c r="N218" s="6"/>
      <c r="O218" s="6"/>
      <c r="P218" s="6"/>
      <c r="Q218" s="6"/>
      <c r="R218" s="6"/>
      <c r="S218" s="6"/>
      <c r="T218" s="6"/>
      <c r="U218" s="6"/>
      <c r="V218" s="6"/>
      <c r="W218" s="6"/>
      <c r="X218" s="6"/>
    </row>
    <row r="219" hidden="1">
      <c r="A219" s="6"/>
      <c r="B219" s="6"/>
      <c r="C219" s="6"/>
      <c r="D219" s="6"/>
      <c r="E219" s="6"/>
      <c r="F219" s="6"/>
      <c r="G219" s="6" t="str">
        <f>IFERROR(__xludf.DUMMYFUNCTION("""COMPUTED_VALUE"""),"")</f>
        <v/>
      </c>
      <c r="H219" s="6"/>
      <c r="I219" s="6"/>
      <c r="J219" s="6"/>
      <c r="K219" s="6"/>
      <c r="L219" s="6"/>
      <c r="M219" s="6"/>
      <c r="N219" s="6"/>
      <c r="O219" s="6"/>
      <c r="P219" s="6"/>
      <c r="Q219" s="6"/>
      <c r="R219" s="6"/>
      <c r="S219" s="6"/>
      <c r="T219" s="6"/>
      <c r="U219" s="6"/>
      <c r="V219" s="6"/>
      <c r="W219" s="6"/>
      <c r="X219" s="6"/>
    </row>
    <row r="220" hidden="1">
      <c r="A220" s="6"/>
      <c r="B220" s="6"/>
      <c r="C220" s="6"/>
      <c r="D220" s="6"/>
      <c r="E220" s="6"/>
      <c r="F220" s="6"/>
      <c r="G220" s="6" t="str">
        <f>IFERROR(__xludf.DUMMYFUNCTION("""COMPUTED_VALUE"""),"")</f>
        <v/>
      </c>
      <c r="H220" s="6"/>
      <c r="I220" s="6"/>
      <c r="J220" s="6"/>
      <c r="K220" s="6"/>
      <c r="L220" s="6"/>
      <c r="M220" s="6"/>
      <c r="N220" s="6"/>
      <c r="O220" s="6"/>
      <c r="P220" s="6"/>
      <c r="Q220" s="6"/>
      <c r="R220" s="6"/>
      <c r="S220" s="6"/>
      <c r="T220" s="6"/>
      <c r="U220" s="6"/>
      <c r="V220" s="6"/>
      <c r="W220" s="6"/>
      <c r="X220" s="6"/>
    </row>
    <row r="221" hidden="1">
      <c r="A221" s="6"/>
      <c r="B221" s="6"/>
      <c r="C221" s="6"/>
      <c r="D221" s="6"/>
      <c r="E221" s="6"/>
      <c r="F221" s="6"/>
      <c r="G221" s="6" t="str">
        <f>IFERROR(__xludf.DUMMYFUNCTION("""COMPUTED_VALUE"""),"")</f>
        <v/>
      </c>
      <c r="H221" s="6"/>
      <c r="I221" s="6"/>
      <c r="J221" s="6"/>
      <c r="K221" s="6"/>
      <c r="L221" s="6"/>
      <c r="M221" s="6"/>
      <c r="N221" s="6"/>
      <c r="O221" s="6"/>
      <c r="P221" s="6"/>
      <c r="Q221" s="6"/>
      <c r="R221" s="6"/>
      <c r="S221" s="6"/>
      <c r="T221" s="6"/>
      <c r="U221" s="6"/>
      <c r="V221" s="6"/>
      <c r="W221" s="6"/>
      <c r="X221" s="6"/>
    </row>
    <row r="222" hidden="1">
      <c r="A222" s="6"/>
      <c r="B222" s="6"/>
      <c r="C222" s="6"/>
      <c r="D222" s="6"/>
      <c r="E222" s="6"/>
      <c r="F222" s="6"/>
      <c r="G222" s="6" t="str">
        <f>IFERROR(__xludf.DUMMYFUNCTION("""COMPUTED_VALUE"""),"")</f>
        <v/>
      </c>
      <c r="H222" s="6"/>
      <c r="I222" s="6"/>
      <c r="J222" s="6"/>
      <c r="K222" s="6"/>
      <c r="L222" s="6"/>
      <c r="M222" s="6"/>
      <c r="N222" s="6"/>
      <c r="O222" s="6"/>
      <c r="P222" s="6"/>
      <c r="Q222" s="6"/>
      <c r="R222" s="6"/>
      <c r="S222" s="6"/>
      <c r="T222" s="6"/>
      <c r="U222" s="6"/>
      <c r="V222" s="6"/>
      <c r="W222" s="6"/>
      <c r="X222" s="6"/>
    </row>
    <row r="223" hidden="1">
      <c r="A223" s="6"/>
      <c r="B223" s="6"/>
      <c r="C223" s="6"/>
      <c r="D223" s="6"/>
      <c r="E223" s="6"/>
      <c r="F223" s="6"/>
      <c r="G223" s="6" t="str">
        <f>IFERROR(__xludf.DUMMYFUNCTION("""COMPUTED_VALUE"""),"")</f>
        <v/>
      </c>
      <c r="H223" s="6"/>
      <c r="I223" s="6"/>
      <c r="J223" s="6"/>
      <c r="K223" s="6"/>
      <c r="L223" s="6"/>
      <c r="M223" s="6"/>
      <c r="N223" s="6"/>
      <c r="O223" s="6"/>
      <c r="P223" s="6"/>
      <c r="Q223" s="6"/>
      <c r="R223" s="6"/>
      <c r="S223" s="6"/>
      <c r="T223" s="6"/>
      <c r="U223" s="6"/>
      <c r="V223" s="6"/>
      <c r="W223" s="6"/>
      <c r="X223" s="6"/>
    </row>
    <row r="224" hidden="1">
      <c r="A224" s="6"/>
      <c r="B224" s="6"/>
      <c r="C224" s="6"/>
      <c r="D224" s="6"/>
      <c r="E224" s="6"/>
      <c r="F224" s="6"/>
      <c r="G224" s="6" t="str">
        <f>IFERROR(__xludf.DUMMYFUNCTION("""COMPUTED_VALUE"""),"")</f>
        <v/>
      </c>
      <c r="H224" s="6"/>
      <c r="I224" s="6"/>
      <c r="J224" s="6"/>
      <c r="K224" s="6"/>
      <c r="L224" s="6"/>
      <c r="M224" s="6"/>
      <c r="N224" s="6"/>
      <c r="O224" s="6"/>
      <c r="P224" s="6"/>
      <c r="Q224" s="6"/>
      <c r="R224" s="6"/>
      <c r="S224" s="6"/>
      <c r="T224" s="6"/>
      <c r="U224" s="6"/>
      <c r="V224" s="6"/>
      <c r="W224" s="6"/>
      <c r="X224" s="6"/>
    </row>
    <row r="225" hidden="1">
      <c r="A225" s="6"/>
      <c r="B225" s="6"/>
      <c r="C225" s="6"/>
      <c r="D225" s="6"/>
      <c r="E225" s="6"/>
      <c r="F225" s="6"/>
      <c r="G225" s="6" t="str">
        <f>IFERROR(__xludf.DUMMYFUNCTION("""COMPUTED_VALUE"""),"")</f>
        <v/>
      </c>
      <c r="H225" s="6"/>
      <c r="I225" s="6"/>
      <c r="J225" s="6"/>
      <c r="K225" s="6"/>
      <c r="L225" s="6"/>
      <c r="M225" s="6"/>
      <c r="N225" s="6"/>
      <c r="O225" s="6"/>
      <c r="P225" s="6"/>
      <c r="Q225" s="6"/>
      <c r="R225" s="6"/>
      <c r="S225" s="6"/>
      <c r="T225" s="6"/>
      <c r="U225" s="6"/>
      <c r="V225" s="6"/>
      <c r="W225" s="6"/>
      <c r="X225" s="6"/>
    </row>
    <row r="226" hidden="1">
      <c r="A226" s="6"/>
      <c r="B226" s="6"/>
      <c r="C226" s="6"/>
      <c r="D226" s="6"/>
      <c r="E226" s="6"/>
      <c r="F226" s="6"/>
      <c r="G226" s="6" t="str">
        <f>IFERROR(__xludf.DUMMYFUNCTION("""COMPUTED_VALUE"""),"")</f>
        <v/>
      </c>
      <c r="H226" s="6"/>
      <c r="I226" s="6"/>
      <c r="J226" s="6"/>
      <c r="K226" s="6"/>
      <c r="L226" s="6"/>
      <c r="M226" s="6"/>
      <c r="N226" s="6"/>
      <c r="O226" s="6"/>
      <c r="P226" s="6"/>
      <c r="Q226" s="6"/>
      <c r="R226" s="6"/>
      <c r="S226" s="6"/>
      <c r="T226" s="6"/>
      <c r="U226" s="6"/>
      <c r="V226" s="6"/>
      <c r="W226" s="6"/>
      <c r="X226" s="6"/>
    </row>
    <row r="227" hidden="1">
      <c r="A227" s="6"/>
      <c r="B227" s="6"/>
      <c r="C227" s="6"/>
      <c r="D227" s="6"/>
      <c r="E227" s="6"/>
      <c r="F227" s="6"/>
      <c r="G227" s="6" t="str">
        <f>IFERROR(__xludf.DUMMYFUNCTION("""COMPUTED_VALUE"""),"")</f>
        <v/>
      </c>
      <c r="H227" s="6"/>
      <c r="I227" s="6"/>
      <c r="J227" s="6"/>
      <c r="K227" s="6"/>
      <c r="L227" s="6"/>
      <c r="M227" s="6"/>
      <c r="N227" s="6"/>
      <c r="O227" s="6"/>
      <c r="P227" s="6"/>
      <c r="Q227" s="6"/>
      <c r="R227" s="6"/>
      <c r="S227" s="6"/>
      <c r="T227" s="6"/>
      <c r="U227" s="6"/>
      <c r="V227" s="6"/>
      <c r="W227" s="6"/>
      <c r="X227" s="6"/>
    </row>
    <row r="228" hidden="1">
      <c r="A228" s="6"/>
      <c r="B228" s="6"/>
      <c r="C228" s="6"/>
      <c r="D228" s="6"/>
      <c r="E228" s="6"/>
      <c r="F228" s="6"/>
      <c r="G228" s="6" t="str">
        <f>IFERROR(__xludf.DUMMYFUNCTION("""COMPUTED_VALUE"""),"")</f>
        <v/>
      </c>
      <c r="H228" s="6"/>
      <c r="I228" s="6"/>
      <c r="J228" s="6"/>
      <c r="K228" s="6"/>
      <c r="L228" s="6"/>
      <c r="M228" s="6"/>
      <c r="N228" s="6"/>
      <c r="O228" s="6"/>
      <c r="P228" s="6"/>
      <c r="Q228" s="6"/>
      <c r="R228" s="6"/>
      <c r="S228" s="6"/>
      <c r="T228" s="6"/>
      <c r="U228" s="6"/>
      <c r="V228" s="6"/>
      <c r="W228" s="6"/>
      <c r="X228" s="6"/>
    </row>
    <row r="229" hidden="1">
      <c r="A229" s="6"/>
      <c r="B229" s="6"/>
      <c r="C229" s="6"/>
      <c r="D229" s="6"/>
      <c r="E229" s="6"/>
      <c r="F229" s="6"/>
      <c r="G229" s="6" t="str">
        <f>IFERROR(__xludf.DUMMYFUNCTION("""COMPUTED_VALUE"""),"")</f>
        <v/>
      </c>
      <c r="H229" s="6"/>
      <c r="I229" s="6"/>
      <c r="J229" s="6"/>
      <c r="K229" s="6"/>
      <c r="L229" s="6"/>
      <c r="M229" s="6"/>
      <c r="N229" s="6"/>
      <c r="O229" s="6"/>
      <c r="P229" s="6"/>
      <c r="Q229" s="6"/>
      <c r="R229" s="6"/>
      <c r="S229" s="6"/>
      <c r="T229" s="6"/>
      <c r="U229" s="6"/>
      <c r="V229" s="6"/>
      <c r="W229" s="6"/>
      <c r="X229" s="6"/>
    </row>
    <row r="230" hidden="1">
      <c r="A230" s="6"/>
      <c r="B230" s="6"/>
      <c r="C230" s="6"/>
      <c r="D230" s="6"/>
      <c r="E230" s="6"/>
      <c r="F230" s="6"/>
      <c r="G230" s="6" t="str">
        <f>IFERROR(__xludf.DUMMYFUNCTION("""COMPUTED_VALUE"""),"")</f>
        <v/>
      </c>
      <c r="H230" s="6"/>
      <c r="I230" s="6"/>
      <c r="J230" s="6"/>
      <c r="K230" s="6"/>
      <c r="L230" s="6"/>
      <c r="M230" s="6"/>
      <c r="N230" s="6"/>
      <c r="O230" s="6"/>
      <c r="P230" s="6"/>
      <c r="Q230" s="6"/>
      <c r="R230" s="6"/>
      <c r="S230" s="6"/>
      <c r="T230" s="6"/>
      <c r="U230" s="6"/>
      <c r="V230" s="6"/>
      <c r="W230" s="6"/>
      <c r="X230" s="6"/>
    </row>
    <row r="231" hidden="1">
      <c r="A231" s="6"/>
      <c r="B231" s="6"/>
      <c r="C231" s="6"/>
      <c r="D231" s="6"/>
      <c r="E231" s="6"/>
      <c r="F231" s="6"/>
      <c r="G231" s="6" t="str">
        <f>IFERROR(__xludf.DUMMYFUNCTION("""COMPUTED_VALUE"""),"")</f>
        <v/>
      </c>
      <c r="H231" s="6"/>
      <c r="I231" s="6"/>
      <c r="J231" s="6"/>
      <c r="K231" s="6"/>
      <c r="L231" s="6"/>
      <c r="M231" s="6"/>
      <c r="N231" s="6"/>
      <c r="O231" s="6"/>
      <c r="P231" s="6"/>
      <c r="Q231" s="6"/>
      <c r="R231" s="6"/>
      <c r="S231" s="6"/>
      <c r="T231" s="6"/>
      <c r="U231" s="6"/>
      <c r="V231" s="6"/>
      <c r="W231" s="6"/>
      <c r="X231" s="6"/>
    </row>
    <row r="232" hidden="1">
      <c r="A232" s="6"/>
      <c r="B232" s="6"/>
      <c r="C232" s="6"/>
      <c r="D232" s="6"/>
      <c r="E232" s="6"/>
      <c r="F232" s="6"/>
      <c r="G232" s="6" t="str">
        <f>IFERROR(__xludf.DUMMYFUNCTION("""COMPUTED_VALUE"""),"")</f>
        <v/>
      </c>
      <c r="H232" s="6"/>
      <c r="I232" s="6"/>
      <c r="J232" s="6"/>
      <c r="K232" s="6"/>
      <c r="L232" s="6"/>
      <c r="M232" s="6"/>
      <c r="N232" s="6"/>
      <c r="O232" s="6"/>
      <c r="P232" s="6"/>
      <c r="Q232" s="6"/>
      <c r="R232" s="6"/>
      <c r="S232" s="6"/>
      <c r="T232" s="6"/>
      <c r="U232" s="6"/>
      <c r="V232" s="6"/>
      <c r="W232" s="6"/>
      <c r="X232" s="6"/>
    </row>
    <row r="233" hidden="1">
      <c r="A233" s="6"/>
      <c r="B233" s="6"/>
      <c r="C233" s="6"/>
      <c r="D233" s="6"/>
      <c r="E233" s="6"/>
      <c r="F233" s="6"/>
      <c r="G233" s="6" t="str">
        <f>IFERROR(__xludf.DUMMYFUNCTION("""COMPUTED_VALUE"""),"")</f>
        <v/>
      </c>
      <c r="H233" s="6"/>
      <c r="I233" s="6"/>
      <c r="J233" s="6"/>
      <c r="K233" s="6"/>
      <c r="L233" s="6"/>
      <c r="M233" s="6"/>
      <c r="N233" s="6"/>
      <c r="O233" s="6"/>
      <c r="P233" s="6"/>
      <c r="Q233" s="6"/>
      <c r="R233" s="6"/>
      <c r="S233" s="6"/>
      <c r="T233" s="6"/>
      <c r="U233" s="6"/>
      <c r="V233" s="6"/>
      <c r="W233" s="6"/>
      <c r="X233" s="6"/>
    </row>
    <row r="234" hidden="1">
      <c r="A234" s="6"/>
      <c r="B234" s="6"/>
      <c r="C234" s="6"/>
      <c r="D234" s="6"/>
      <c r="E234" s="6"/>
      <c r="F234" s="6"/>
      <c r="G234" s="6" t="str">
        <f>IFERROR(__xludf.DUMMYFUNCTION("""COMPUTED_VALUE"""),"")</f>
        <v/>
      </c>
      <c r="H234" s="6"/>
      <c r="I234" s="6"/>
      <c r="J234" s="6"/>
      <c r="K234" s="6"/>
      <c r="L234" s="6"/>
      <c r="M234" s="6"/>
      <c r="N234" s="6"/>
      <c r="O234" s="6"/>
      <c r="P234" s="6"/>
      <c r="Q234" s="6"/>
      <c r="R234" s="6"/>
      <c r="S234" s="6"/>
      <c r="T234" s="6"/>
      <c r="U234" s="6"/>
      <c r="V234" s="6"/>
      <c r="W234" s="6"/>
      <c r="X234" s="6"/>
    </row>
    <row r="235" hidden="1">
      <c r="A235" s="6"/>
      <c r="B235" s="6"/>
      <c r="C235" s="6"/>
      <c r="D235" s="6"/>
      <c r="E235" s="6"/>
      <c r="F235" s="6"/>
      <c r="G235" s="6" t="str">
        <f>IFERROR(__xludf.DUMMYFUNCTION("""COMPUTED_VALUE"""),"")</f>
        <v/>
      </c>
      <c r="H235" s="6"/>
      <c r="I235" s="6"/>
      <c r="J235" s="6"/>
      <c r="K235" s="6"/>
      <c r="L235" s="6"/>
      <c r="M235" s="6"/>
      <c r="N235" s="6"/>
      <c r="O235" s="6"/>
      <c r="P235" s="6"/>
      <c r="Q235" s="6"/>
      <c r="R235" s="6"/>
      <c r="S235" s="6"/>
      <c r="T235" s="6"/>
      <c r="U235" s="6"/>
      <c r="V235" s="6"/>
      <c r="W235" s="6"/>
      <c r="X235" s="6"/>
    </row>
    <row r="236" hidden="1">
      <c r="A236" s="6"/>
      <c r="B236" s="6"/>
      <c r="C236" s="6"/>
      <c r="D236" s="6"/>
      <c r="E236" s="6"/>
      <c r="F236" s="6"/>
      <c r="G236" s="6" t="str">
        <f>IFERROR(__xludf.DUMMYFUNCTION("""COMPUTED_VALUE"""),"")</f>
        <v/>
      </c>
      <c r="H236" s="6"/>
      <c r="I236" s="6"/>
      <c r="J236" s="6"/>
      <c r="K236" s="6"/>
      <c r="L236" s="6"/>
      <c r="M236" s="6"/>
      <c r="N236" s="6"/>
      <c r="O236" s="6"/>
      <c r="P236" s="6"/>
      <c r="Q236" s="6"/>
      <c r="R236" s="6"/>
      <c r="S236" s="6"/>
      <c r="T236" s="6"/>
      <c r="U236" s="6"/>
      <c r="V236" s="6"/>
      <c r="W236" s="6"/>
      <c r="X236" s="6"/>
    </row>
    <row r="237" hidden="1">
      <c r="A237" s="6"/>
      <c r="B237" s="6"/>
      <c r="C237" s="6"/>
      <c r="D237" s="6"/>
      <c r="E237" s="6"/>
      <c r="F237" s="6"/>
      <c r="G237" s="6" t="str">
        <f>IFERROR(__xludf.DUMMYFUNCTION("""COMPUTED_VALUE"""),"")</f>
        <v/>
      </c>
      <c r="H237" s="6"/>
      <c r="I237" s="6"/>
      <c r="J237" s="6"/>
      <c r="K237" s="6"/>
      <c r="L237" s="6"/>
      <c r="M237" s="6"/>
      <c r="N237" s="6"/>
      <c r="O237" s="6"/>
      <c r="P237" s="6"/>
      <c r="Q237" s="6"/>
      <c r="R237" s="6"/>
      <c r="S237" s="6"/>
      <c r="T237" s="6"/>
      <c r="U237" s="6"/>
      <c r="V237" s="6"/>
      <c r="W237" s="6"/>
      <c r="X237" s="6"/>
    </row>
    <row r="238" hidden="1">
      <c r="A238" s="6"/>
      <c r="B238" s="6"/>
      <c r="C238" s="6"/>
      <c r="D238" s="6"/>
      <c r="E238" s="6"/>
      <c r="F238" s="6"/>
      <c r="G238" s="6" t="str">
        <f>IFERROR(__xludf.DUMMYFUNCTION("""COMPUTED_VALUE"""),"")</f>
        <v/>
      </c>
      <c r="H238" s="6"/>
      <c r="I238" s="6"/>
      <c r="J238" s="6"/>
      <c r="K238" s="6"/>
      <c r="L238" s="6"/>
      <c r="M238" s="6"/>
      <c r="N238" s="6"/>
      <c r="O238" s="6"/>
      <c r="P238" s="6"/>
      <c r="Q238" s="6"/>
      <c r="R238" s="6"/>
      <c r="S238" s="6"/>
      <c r="T238" s="6"/>
      <c r="U238" s="6"/>
      <c r="V238" s="6"/>
      <c r="W238" s="6"/>
      <c r="X238" s="6"/>
    </row>
    <row r="239" hidden="1">
      <c r="A239" s="6"/>
      <c r="B239" s="6"/>
      <c r="C239" s="6"/>
      <c r="D239" s="6"/>
      <c r="E239" s="6"/>
      <c r="F239" s="6"/>
      <c r="G239" s="6" t="str">
        <f>IFERROR(__xludf.DUMMYFUNCTION("""COMPUTED_VALUE"""),"")</f>
        <v/>
      </c>
      <c r="H239" s="6"/>
      <c r="I239" s="6"/>
      <c r="J239" s="6"/>
      <c r="K239" s="6"/>
      <c r="L239" s="6"/>
      <c r="M239" s="6"/>
      <c r="N239" s="6"/>
      <c r="O239" s="6"/>
      <c r="P239" s="6"/>
      <c r="Q239" s="6"/>
      <c r="R239" s="6"/>
      <c r="S239" s="6"/>
      <c r="T239" s="6"/>
      <c r="U239" s="6"/>
      <c r="V239" s="6"/>
      <c r="W239" s="6"/>
      <c r="X239" s="6"/>
    </row>
    <row r="240" hidden="1">
      <c r="A240" s="6"/>
      <c r="B240" s="6"/>
      <c r="C240" s="6"/>
      <c r="D240" s="6"/>
      <c r="E240" s="6"/>
      <c r="F240" s="6"/>
      <c r="G240" s="6" t="str">
        <f>IFERROR(__xludf.DUMMYFUNCTION("""COMPUTED_VALUE"""),"")</f>
        <v/>
      </c>
      <c r="H240" s="6"/>
      <c r="I240" s="6"/>
      <c r="J240" s="6"/>
      <c r="K240" s="6"/>
      <c r="L240" s="6"/>
      <c r="M240" s="6"/>
      <c r="N240" s="6"/>
      <c r="O240" s="6"/>
      <c r="P240" s="6"/>
      <c r="Q240" s="6"/>
      <c r="R240" s="6"/>
      <c r="S240" s="6"/>
      <c r="T240" s="6"/>
      <c r="U240" s="6"/>
      <c r="V240" s="6"/>
      <c r="W240" s="6"/>
      <c r="X240" s="6"/>
    </row>
    <row r="241" hidden="1">
      <c r="A241" s="6"/>
      <c r="B241" s="6"/>
      <c r="C241" s="6"/>
      <c r="D241" s="6"/>
      <c r="E241" s="6"/>
      <c r="F241" s="6"/>
      <c r="G241" s="6" t="str">
        <f>IFERROR(__xludf.DUMMYFUNCTION("""COMPUTED_VALUE"""),"")</f>
        <v/>
      </c>
      <c r="H241" s="6"/>
      <c r="I241" s="6"/>
      <c r="J241" s="6"/>
      <c r="K241" s="6"/>
      <c r="L241" s="6"/>
      <c r="M241" s="6"/>
      <c r="N241" s="6"/>
      <c r="O241" s="6"/>
      <c r="P241" s="6"/>
      <c r="Q241" s="6"/>
      <c r="R241" s="6"/>
      <c r="S241" s="6"/>
      <c r="T241" s="6"/>
      <c r="U241" s="6"/>
      <c r="V241" s="6"/>
      <c r="W241" s="6"/>
      <c r="X241" s="6"/>
    </row>
    <row r="242" hidden="1">
      <c r="A242" s="6"/>
      <c r="B242" s="6"/>
      <c r="C242" s="6"/>
      <c r="D242" s="6"/>
      <c r="E242" s="6"/>
      <c r="F242" s="6"/>
      <c r="G242" s="6" t="str">
        <f>IFERROR(__xludf.DUMMYFUNCTION("""COMPUTED_VALUE"""),"")</f>
        <v/>
      </c>
      <c r="H242" s="6"/>
      <c r="I242" s="6"/>
      <c r="J242" s="6"/>
      <c r="K242" s="6"/>
      <c r="L242" s="6"/>
      <c r="M242" s="6"/>
      <c r="N242" s="6"/>
      <c r="O242" s="6"/>
      <c r="P242" s="6"/>
      <c r="Q242" s="6"/>
      <c r="R242" s="6"/>
      <c r="S242" s="6"/>
      <c r="T242" s="6"/>
      <c r="U242" s="6"/>
      <c r="V242" s="6"/>
      <c r="W242" s="6"/>
      <c r="X242" s="6"/>
    </row>
    <row r="243" hidden="1">
      <c r="A243" s="6"/>
      <c r="B243" s="6"/>
      <c r="C243" s="6"/>
      <c r="D243" s="6"/>
      <c r="E243" s="6"/>
      <c r="F243" s="6"/>
      <c r="G243" s="6" t="str">
        <f>IFERROR(__xludf.DUMMYFUNCTION("""COMPUTED_VALUE"""),"")</f>
        <v/>
      </c>
      <c r="H243" s="6"/>
      <c r="I243" s="6"/>
      <c r="J243" s="6"/>
      <c r="K243" s="6"/>
      <c r="L243" s="6"/>
      <c r="M243" s="6"/>
      <c r="N243" s="6"/>
      <c r="O243" s="6"/>
      <c r="P243" s="6"/>
      <c r="Q243" s="6"/>
      <c r="R243" s="6"/>
      <c r="S243" s="6"/>
      <c r="T243" s="6"/>
      <c r="U243" s="6"/>
      <c r="V243" s="6"/>
      <c r="W243" s="6"/>
      <c r="X243" s="6"/>
    </row>
    <row r="244" hidden="1">
      <c r="A244" s="6"/>
      <c r="B244" s="6"/>
      <c r="C244" s="6"/>
      <c r="D244" s="6"/>
      <c r="E244" s="6"/>
      <c r="F244" s="6"/>
      <c r="G244" s="6" t="str">
        <f>IFERROR(__xludf.DUMMYFUNCTION("""COMPUTED_VALUE"""),"")</f>
        <v/>
      </c>
      <c r="H244" s="6"/>
      <c r="I244" s="6"/>
      <c r="J244" s="6"/>
      <c r="K244" s="6"/>
      <c r="L244" s="6"/>
      <c r="M244" s="6"/>
      <c r="N244" s="6"/>
      <c r="O244" s="6"/>
      <c r="P244" s="6"/>
      <c r="Q244" s="6"/>
      <c r="R244" s="6"/>
      <c r="S244" s="6"/>
      <c r="T244" s="6"/>
      <c r="U244" s="6"/>
      <c r="V244" s="6"/>
      <c r="W244" s="6"/>
      <c r="X244" s="6"/>
    </row>
    <row r="245" hidden="1">
      <c r="A245" s="6"/>
      <c r="B245" s="6"/>
      <c r="C245" s="6"/>
      <c r="D245" s="6"/>
      <c r="E245" s="6"/>
      <c r="F245" s="6"/>
      <c r="G245" s="6" t="str">
        <f>IFERROR(__xludf.DUMMYFUNCTION("""COMPUTED_VALUE"""),"")</f>
        <v/>
      </c>
      <c r="H245" s="6"/>
      <c r="I245" s="6"/>
      <c r="J245" s="6"/>
      <c r="K245" s="6"/>
      <c r="L245" s="6"/>
      <c r="M245" s="6"/>
      <c r="N245" s="6"/>
      <c r="O245" s="6"/>
      <c r="P245" s="6"/>
      <c r="Q245" s="6"/>
      <c r="R245" s="6"/>
      <c r="S245" s="6"/>
      <c r="T245" s="6"/>
      <c r="U245" s="6"/>
      <c r="V245" s="6"/>
      <c r="W245" s="6"/>
      <c r="X245" s="6"/>
    </row>
    <row r="246" hidden="1">
      <c r="A246" s="6"/>
      <c r="B246" s="6"/>
      <c r="C246" s="6"/>
      <c r="D246" s="6"/>
      <c r="E246" s="6"/>
      <c r="F246" s="6"/>
      <c r="G246" s="6" t="str">
        <f>IFERROR(__xludf.DUMMYFUNCTION("""COMPUTED_VALUE"""),"")</f>
        <v/>
      </c>
      <c r="H246" s="6"/>
      <c r="I246" s="6"/>
      <c r="J246" s="6"/>
      <c r="K246" s="6"/>
      <c r="L246" s="6"/>
      <c r="M246" s="6"/>
      <c r="N246" s="6"/>
      <c r="O246" s="6"/>
      <c r="P246" s="6"/>
      <c r="Q246" s="6"/>
      <c r="R246" s="6"/>
      <c r="S246" s="6"/>
      <c r="T246" s="6"/>
      <c r="U246" s="6"/>
      <c r="V246" s="6"/>
      <c r="W246" s="6"/>
      <c r="X246" s="6"/>
    </row>
    <row r="247" hidden="1">
      <c r="A247" s="6"/>
      <c r="B247" s="6"/>
      <c r="C247" s="6"/>
      <c r="D247" s="6"/>
      <c r="E247" s="6"/>
      <c r="F247" s="6"/>
      <c r="G247" s="6" t="str">
        <f>IFERROR(__xludf.DUMMYFUNCTION("""COMPUTED_VALUE"""),"")</f>
        <v/>
      </c>
      <c r="H247" s="6"/>
      <c r="I247" s="6"/>
      <c r="J247" s="6"/>
      <c r="K247" s="6"/>
      <c r="L247" s="6"/>
      <c r="M247" s="6"/>
      <c r="N247" s="6"/>
      <c r="O247" s="6"/>
      <c r="P247" s="6"/>
      <c r="Q247" s="6"/>
      <c r="R247" s="6"/>
      <c r="S247" s="6"/>
      <c r="T247" s="6"/>
      <c r="U247" s="6"/>
      <c r="V247" s="6"/>
      <c r="W247" s="6"/>
      <c r="X247" s="6"/>
    </row>
    <row r="248" hidden="1">
      <c r="A248" s="6"/>
      <c r="B248" s="6"/>
      <c r="C248" s="6"/>
      <c r="D248" s="6"/>
      <c r="E248" s="6"/>
      <c r="F248" s="6"/>
      <c r="G248" s="6" t="str">
        <f>IFERROR(__xludf.DUMMYFUNCTION("""COMPUTED_VALUE"""),"")</f>
        <v/>
      </c>
      <c r="H248" s="6"/>
      <c r="I248" s="6"/>
      <c r="J248" s="6"/>
      <c r="K248" s="6"/>
      <c r="L248" s="6"/>
      <c r="M248" s="6"/>
      <c r="N248" s="6"/>
      <c r="O248" s="6"/>
      <c r="P248" s="6"/>
      <c r="Q248" s="6"/>
      <c r="R248" s="6"/>
      <c r="S248" s="6"/>
      <c r="T248" s="6"/>
      <c r="U248" s="6"/>
      <c r="V248" s="6"/>
      <c r="W248" s="6"/>
      <c r="X248" s="6"/>
    </row>
    <row r="249" hidden="1">
      <c r="A249" s="6"/>
      <c r="B249" s="6"/>
      <c r="C249" s="6"/>
      <c r="D249" s="6"/>
      <c r="E249" s="6"/>
      <c r="F249" s="6"/>
      <c r="G249" s="6" t="str">
        <f>IFERROR(__xludf.DUMMYFUNCTION("""COMPUTED_VALUE"""),"")</f>
        <v/>
      </c>
      <c r="H249" s="6"/>
      <c r="I249" s="6"/>
      <c r="J249" s="6"/>
      <c r="K249" s="6"/>
      <c r="L249" s="6"/>
      <c r="M249" s="6"/>
      <c r="N249" s="6"/>
      <c r="O249" s="6"/>
      <c r="P249" s="6"/>
      <c r="Q249" s="6"/>
      <c r="R249" s="6"/>
      <c r="S249" s="6"/>
      <c r="T249" s="6"/>
      <c r="U249" s="6"/>
      <c r="V249" s="6"/>
      <c r="W249" s="6"/>
      <c r="X249" s="6"/>
    </row>
    <row r="250" hidden="1">
      <c r="A250" s="6"/>
      <c r="B250" s="6"/>
      <c r="C250" s="6"/>
      <c r="D250" s="6"/>
      <c r="E250" s="6"/>
      <c r="F250" s="6"/>
      <c r="G250" s="6" t="str">
        <f>IFERROR(__xludf.DUMMYFUNCTION("""COMPUTED_VALUE"""),"")</f>
        <v/>
      </c>
      <c r="H250" s="6"/>
      <c r="I250" s="6"/>
      <c r="J250" s="6"/>
      <c r="K250" s="6"/>
      <c r="L250" s="6"/>
      <c r="M250" s="6"/>
      <c r="N250" s="6"/>
      <c r="O250" s="6"/>
      <c r="P250" s="6"/>
      <c r="Q250" s="6"/>
      <c r="R250" s="6"/>
      <c r="S250" s="6"/>
      <c r="T250" s="6"/>
      <c r="U250" s="6"/>
      <c r="V250" s="6"/>
      <c r="W250" s="6"/>
      <c r="X250" s="6"/>
    </row>
    <row r="251" hidden="1">
      <c r="A251" s="6"/>
      <c r="B251" s="6"/>
      <c r="C251" s="6"/>
      <c r="D251" s="6"/>
      <c r="E251" s="6"/>
      <c r="F251" s="6"/>
      <c r="G251" s="6" t="str">
        <f>IFERROR(__xludf.DUMMYFUNCTION("""COMPUTED_VALUE"""),"")</f>
        <v/>
      </c>
      <c r="H251" s="6"/>
      <c r="I251" s="6"/>
      <c r="J251" s="6"/>
      <c r="K251" s="6"/>
      <c r="L251" s="6"/>
      <c r="M251" s="6"/>
      <c r="N251" s="6"/>
      <c r="O251" s="6"/>
      <c r="P251" s="6"/>
      <c r="Q251" s="6"/>
      <c r="R251" s="6"/>
      <c r="S251" s="6"/>
      <c r="T251" s="6"/>
      <c r="U251" s="6"/>
      <c r="V251" s="6"/>
      <c r="W251" s="6"/>
      <c r="X251" s="6"/>
    </row>
    <row r="252" hidden="1">
      <c r="A252" s="6"/>
      <c r="B252" s="6"/>
      <c r="C252" s="6"/>
      <c r="D252" s="6"/>
      <c r="E252" s="6"/>
      <c r="F252" s="6"/>
      <c r="G252" s="6" t="str">
        <f>IFERROR(__xludf.DUMMYFUNCTION("""COMPUTED_VALUE"""),"")</f>
        <v/>
      </c>
      <c r="H252" s="6"/>
      <c r="I252" s="6"/>
      <c r="J252" s="6"/>
      <c r="K252" s="6"/>
      <c r="L252" s="6"/>
      <c r="M252" s="6"/>
      <c r="N252" s="6"/>
      <c r="O252" s="6"/>
      <c r="P252" s="6"/>
      <c r="Q252" s="6"/>
      <c r="R252" s="6"/>
      <c r="S252" s="6"/>
      <c r="T252" s="6"/>
      <c r="U252" s="6"/>
      <c r="V252" s="6"/>
      <c r="W252" s="6"/>
      <c r="X252" s="6"/>
    </row>
    <row r="253" hidden="1">
      <c r="A253" s="6"/>
      <c r="B253" s="6"/>
      <c r="C253" s="6"/>
      <c r="D253" s="6"/>
      <c r="E253" s="6"/>
      <c r="F253" s="6"/>
      <c r="G253" s="6" t="str">
        <f>IFERROR(__xludf.DUMMYFUNCTION("""COMPUTED_VALUE"""),"")</f>
        <v/>
      </c>
      <c r="H253" s="6"/>
      <c r="I253" s="6"/>
      <c r="J253" s="6"/>
      <c r="K253" s="6"/>
      <c r="L253" s="6"/>
      <c r="M253" s="6"/>
      <c r="N253" s="6"/>
      <c r="O253" s="6"/>
      <c r="P253" s="6"/>
      <c r="Q253" s="6"/>
      <c r="R253" s="6"/>
      <c r="S253" s="6"/>
      <c r="T253" s="6"/>
      <c r="U253" s="6"/>
      <c r="V253" s="6"/>
      <c r="W253" s="6"/>
      <c r="X253" s="6"/>
    </row>
    <row r="254" hidden="1">
      <c r="A254" s="6"/>
      <c r="B254" s="6"/>
      <c r="C254" s="6"/>
      <c r="D254" s="6"/>
      <c r="E254" s="6"/>
      <c r="F254" s="6"/>
      <c r="G254" s="6" t="str">
        <f>IFERROR(__xludf.DUMMYFUNCTION("""COMPUTED_VALUE"""),"")</f>
        <v/>
      </c>
      <c r="H254" s="6"/>
      <c r="I254" s="6"/>
      <c r="J254" s="6"/>
      <c r="K254" s="6"/>
      <c r="L254" s="6"/>
      <c r="M254" s="6"/>
      <c r="N254" s="6"/>
      <c r="O254" s="6"/>
      <c r="P254" s="6"/>
      <c r="Q254" s="6"/>
      <c r="R254" s="6"/>
      <c r="S254" s="6"/>
      <c r="T254" s="6"/>
      <c r="U254" s="6"/>
      <c r="V254" s="6"/>
      <c r="W254" s="6"/>
      <c r="X254" s="6"/>
    </row>
    <row r="255" hidden="1">
      <c r="A255" s="6"/>
      <c r="B255" s="6"/>
      <c r="C255" s="6"/>
      <c r="D255" s="6"/>
      <c r="E255" s="6"/>
      <c r="F255" s="6"/>
      <c r="G255" s="6" t="str">
        <f>IFERROR(__xludf.DUMMYFUNCTION("""COMPUTED_VALUE"""),"")</f>
        <v/>
      </c>
      <c r="H255" s="6"/>
      <c r="I255" s="6"/>
      <c r="J255" s="6"/>
      <c r="K255" s="6"/>
      <c r="L255" s="6"/>
      <c r="M255" s="6"/>
      <c r="N255" s="6"/>
      <c r="O255" s="6"/>
      <c r="P255" s="6"/>
      <c r="Q255" s="6"/>
      <c r="R255" s="6"/>
      <c r="S255" s="6"/>
      <c r="T255" s="6"/>
      <c r="U255" s="6"/>
      <c r="V255" s="6"/>
      <c r="W255" s="6"/>
      <c r="X255" s="6"/>
    </row>
    <row r="256" hidden="1">
      <c r="A256" s="6"/>
      <c r="B256" s="6"/>
      <c r="C256" s="6"/>
      <c r="D256" s="6"/>
      <c r="E256" s="6"/>
      <c r="F256" s="6"/>
      <c r="G256" s="6" t="str">
        <f>IFERROR(__xludf.DUMMYFUNCTION("""COMPUTED_VALUE"""),"")</f>
        <v/>
      </c>
      <c r="H256" s="6"/>
      <c r="I256" s="6"/>
      <c r="J256" s="6"/>
      <c r="K256" s="6"/>
      <c r="L256" s="6"/>
      <c r="M256" s="6"/>
      <c r="N256" s="6"/>
      <c r="O256" s="6"/>
      <c r="P256" s="6"/>
      <c r="Q256" s="6"/>
      <c r="R256" s="6"/>
      <c r="S256" s="6"/>
      <c r="T256" s="6"/>
      <c r="U256" s="6"/>
      <c r="V256" s="6"/>
      <c r="W256" s="6"/>
      <c r="X256" s="6"/>
    </row>
    <row r="257" hidden="1">
      <c r="A257" s="6"/>
      <c r="B257" s="6"/>
      <c r="C257" s="6"/>
      <c r="D257" s="6"/>
      <c r="E257" s="6"/>
      <c r="F257" s="6"/>
      <c r="G257" s="6" t="str">
        <f>IFERROR(__xludf.DUMMYFUNCTION("""COMPUTED_VALUE"""),"")</f>
        <v/>
      </c>
      <c r="H257" s="6"/>
      <c r="I257" s="6"/>
      <c r="J257" s="6"/>
      <c r="K257" s="6"/>
      <c r="L257" s="6"/>
      <c r="M257" s="6"/>
      <c r="N257" s="6"/>
      <c r="O257" s="6"/>
      <c r="P257" s="6"/>
      <c r="Q257" s="6"/>
      <c r="R257" s="6"/>
      <c r="S257" s="6"/>
      <c r="T257" s="6"/>
      <c r="U257" s="6"/>
      <c r="V257" s="6"/>
      <c r="W257" s="6"/>
      <c r="X257" s="6"/>
    </row>
    <row r="258" hidden="1">
      <c r="A258" s="6"/>
      <c r="B258" s="6"/>
      <c r="C258" s="6"/>
      <c r="D258" s="6"/>
      <c r="E258" s="6"/>
      <c r="F258" s="6"/>
      <c r="G258" s="6" t="str">
        <f>IFERROR(__xludf.DUMMYFUNCTION("""COMPUTED_VALUE"""),"")</f>
        <v/>
      </c>
      <c r="H258" s="6"/>
      <c r="I258" s="6"/>
      <c r="J258" s="6"/>
      <c r="K258" s="6"/>
      <c r="L258" s="6"/>
      <c r="M258" s="6"/>
      <c r="N258" s="6"/>
      <c r="O258" s="6"/>
      <c r="P258" s="6"/>
      <c r="Q258" s="6"/>
      <c r="R258" s="6"/>
      <c r="S258" s="6"/>
      <c r="T258" s="6"/>
      <c r="U258" s="6"/>
      <c r="V258" s="6"/>
      <c r="W258" s="6"/>
      <c r="X258" s="6"/>
    </row>
    <row r="259" hidden="1">
      <c r="A259" s="6"/>
      <c r="B259" s="6"/>
      <c r="C259" s="6"/>
      <c r="D259" s="6"/>
      <c r="E259" s="6"/>
      <c r="F259" s="6"/>
      <c r="G259" s="6" t="str">
        <f>IFERROR(__xludf.DUMMYFUNCTION("""COMPUTED_VALUE"""),"")</f>
        <v/>
      </c>
      <c r="H259" s="6"/>
      <c r="I259" s="6"/>
      <c r="J259" s="6"/>
      <c r="K259" s="6"/>
      <c r="L259" s="6"/>
      <c r="M259" s="6"/>
      <c r="N259" s="6"/>
      <c r="O259" s="6"/>
      <c r="P259" s="6"/>
      <c r="Q259" s="6"/>
      <c r="R259" s="6"/>
      <c r="S259" s="6"/>
      <c r="T259" s="6"/>
      <c r="U259" s="6"/>
      <c r="V259" s="6"/>
      <c r="W259" s="6"/>
      <c r="X259" s="6"/>
    </row>
    <row r="260" hidden="1">
      <c r="A260" s="6"/>
      <c r="B260" s="6"/>
      <c r="C260" s="6"/>
      <c r="D260" s="6"/>
      <c r="E260" s="6"/>
      <c r="F260" s="6"/>
      <c r="G260" s="6" t="str">
        <f>IFERROR(__xludf.DUMMYFUNCTION("""COMPUTED_VALUE"""),"")</f>
        <v/>
      </c>
      <c r="H260" s="6"/>
      <c r="I260" s="6"/>
      <c r="J260" s="6"/>
      <c r="K260" s="6"/>
      <c r="L260" s="6"/>
      <c r="M260" s="6"/>
      <c r="N260" s="6"/>
      <c r="O260" s="6"/>
      <c r="P260" s="6"/>
      <c r="Q260" s="6"/>
      <c r="R260" s="6"/>
      <c r="S260" s="6"/>
      <c r="T260" s="6"/>
      <c r="U260" s="6"/>
      <c r="V260" s="6"/>
      <c r="W260" s="6"/>
      <c r="X260" s="6"/>
    </row>
    <row r="261" hidden="1">
      <c r="A261" s="6"/>
      <c r="B261" s="6"/>
      <c r="C261" s="6"/>
      <c r="D261" s="6"/>
      <c r="E261" s="6"/>
      <c r="F261" s="6"/>
      <c r="G261" s="6" t="str">
        <f>IFERROR(__xludf.DUMMYFUNCTION("""COMPUTED_VALUE"""),"")</f>
        <v/>
      </c>
      <c r="H261" s="6"/>
      <c r="I261" s="6"/>
      <c r="J261" s="6"/>
      <c r="K261" s="6"/>
      <c r="L261" s="6"/>
      <c r="M261" s="6"/>
      <c r="N261" s="6"/>
      <c r="O261" s="6"/>
      <c r="P261" s="6"/>
      <c r="Q261" s="6"/>
      <c r="R261" s="6"/>
      <c r="S261" s="6"/>
      <c r="T261" s="6"/>
      <c r="U261" s="6"/>
      <c r="V261" s="6"/>
      <c r="W261" s="6"/>
      <c r="X261" s="6"/>
    </row>
    <row r="262" hidden="1">
      <c r="A262" s="6"/>
      <c r="B262" s="6"/>
      <c r="C262" s="6"/>
      <c r="D262" s="6"/>
      <c r="E262" s="6"/>
      <c r="F262" s="6"/>
      <c r="G262" s="6" t="str">
        <f>IFERROR(__xludf.DUMMYFUNCTION("""COMPUTED_VALUE"""),"")</f>
        <v/>
      </c>
      <c r="H262" s="6"/>
      <c r="I262" s="6"/>
      <c r="J262" s="6"/>
      <c r="K262" s="6"/>
      <c r="L262" s="6"/>
      <c r="M262" s="6"/>
      <c r="N262" s="6"/>
      <c r="O262" s="6"/>
      <c r="P262" s="6"/>
      <c r="Q262" s="6"/>
      <c r="R262" s="6"/>
      <c r="S262" s="6"/>
      <c r="T262" s="6"/>
      <c r="U262" s="6"/>
      <c r="V262" s="6"/>
      <c r="W262" s="6"/>
      <c r="X262" s="6"/>
    </row>
    <row r="263" hidden="1">
      <c r="A263" s="6"/>
      <c r="B263" s="6"/>
      <c r="C263" s="6"/>
      <c r="D263" s="6"/>
      <c r="E263" s="6"/>
      <c r="F263" s="6"/>
      <c r="G263" s="6" t="str">
        <f>IFERROR(__xludf.DUMMYFUNCTION("""COMPUTED_VALUE"""),"")</f>
        <v/>
      </c>
      <c r="H263" s="6"/>
      <c r="I263" s="6"/>
      <c r="J263" s="6"/>
      <c r="K263" s="6"/>
      <c r="L263" s="6"/>
      <c r="M263" s="6"/>
      <c r="N263" s="6"/>
      <c r="O263" s="6"/>
      <c r="P263" s="6"/>
      <c r="Q263" s="6"/>
      <c r="R263" s="6"/>
      <c r="S263" s="6"/>
      <c r="T263" s="6"/>
      <c r="U263" s="6"/>
      <c r="V263" s="6"/>
      <c r="W263" s="6"/>
      <c r="X263" s="6"/>
    </row>
    <row r="264" hidden="1">
      <c r="A264" s="6"/>
      <c r="B264" s="6"/>
      <c r="C264" s="6"/>
      <c r="D264" s="6"/>
      <c r="E264" s="6"/>
      <c r="F264" s="6"/>
      <c r="G264" s="6" t="str">
        <f>IFERROR(__xludf.DUMMYFUNCTION("""COMPUTED_VALUE"""),"")</f>
        <v/>
      </c>
      <c r="H264" s="6"/>
      <c r="I264" s="6"/>
      <c r="J264" s="6"/>
      <c r="K264" s="6"/>
      <c r="L264" s="6"/>
      <c r="M264" s="6"/>
      <c r="N264" s="6"/>
      <c r="O264" s="6"/>
      <c r="P264" s="6"/>
      <c r="Q264" s="6"/>
      <c r="R264" s="6"/>
      <c r="S264" s="6"/>
      <c r="T264" s="6"/>
      <c r="U264" s="6"/>
      <c r="V264" s="6"/>
      <c r="W264" s="6"/>
      <c r="X264" s="6"/>
    </row>
    <row r="265" hidden="1">
      <c r="A265" s="6"/>
      <c r="B265" s="6"/>
      <c r="C265" s="6"/>
      <c r="D265" s="6"/>
      <c r="E265" s="6"/>
      <c r="F265" s="6"/>
      <c r="G265" s="6" t="str">
        <f>IFERROR(__xludf.DUMMYFUNCTION("""COMPUTED_VALUE"""),"")</f>
        <v/>
      </c>
      <c r="H265" s="6"/>
      <c r="I265" s="6"/>
      <c r="J265" s="6"/>
      <c r="K265" s="6"/>
      <c r="L265" s="6"/>
      <c r="M265" s="6"/>
      <c r="N265" s="6"/>
      <c r="O265" s="6"/>
      <c r="P265" s="6"/>
      <c r="Q265" s="6"/>
      <c r="R265" s="6"/>
      <c r="S265" s="6"/>
      <c r="T265" s="6"/>
      <c r="U265" s="6"/>
      <c r="V265" s="6"/>
      <c r="W265" s="6"/>
      <c r="X265" s="6"/>
    </row>
    <row r="266" hidden="1">
      <c r="A266" s="6"/>
      <c r="B266" s="6"/>
      <c r="C266" s="6"/>
      <c r="D266" s="6"/>
      <c r="E266" s="6"/>
      <c r="F266" s="6"/>
      <c r="G266" s="6" t="str">
        <f>IFERROR(__xludf.DUMMYFUNCTION("""COMPUTED_VALUE"""),"")</f>
        <v/>
      </c>
      <c r="H266" s="6"/>
      <c r="I266" s="6"/>
      <c r="J266" s="6"/>
      <c r="K266" s="6"/>
      <c r="L266" s="6"/>
      <c r="M266" s="6"/>
      <c r="N266" s="6"/>
      <c r="O266" s="6"/>
      <c r="P266" s="6"/>
      <c r="Q266" s="6"/>
      <c r="R266" s="6"/>
      <c r="S266" s="6"/>
      <c r="T266" s="6"/>
      <c r="U266" s="6"/>
      <c r="V266" s="6"/>
      <c r="W266" s="6"/>
      <c r="X266" s="6"/>
    </row>
    <row r="267" hidden="1">
      <c r="A267" s="6"/>
      <c r="B267" s="6"/>
      <c r="C267" s="6"/>
      <c r="D267" s="6"/>
      <c r="E267" s="6"/>
      <c r="F267" s="6"/>
      <c r="G267" s="6" t="str">
        <f>IFERROR(__xludf.DUMMYFUNCTION("""COMPUTED_VALUE"""),"")</f>
        <v/>
      </c>
      <c r="H267" s="6"/>
      <c r="I267" s="6"/>
      <c r="J267" s="6"/>
      <c r="K267" s="6"/>
      <c r="L267" s="6"/>
      <c r="M267" s="6"/>
      <c r="N267" s="6"/>
      <c r="O267" s="6"/>
      <c r="P267" s="6"/>
      <c r="Q267" s="6"/>
      <c r="R267" s="6"/>
      <c r="S267" s="6"/>
      <c r="T267" s="6"/>
      <c r="U267" s="6"/>
      <c r="V267" s="6"/>
      <c r="W267" s="6"/>
      <c r="X267" s="6"/>
    </row>
    <row r="268" hidden="1">
      <c r="A268" s="6"/>
      <c r="B268" s="6"/>
      <c r="C268" s="6"/>
      <c r="D268" s="6"/>
      <c r="E268" s="6"/>
      <c r="F268" s="6"/>
      <c r="G268" s="6" t="str">
        <f>IFERROR(__xludf.DUMMYFUNCTION("""COMPUTED_VALUE"""),"")</f>
        <v/>
      </c>
      <c r="H268" s="6"/>
      <c r="I268" s="6"/>
      <c r="J268" s="6"/>
      <c r="K268" s="6"/>
      <c r="L268" s="6"/>
      <c r="M268" s="6"/>
      <c r="N268" s="6"/>
      <c r="O268" s="6"/>
      <c r="P268" s="6"/>
      <c r="Q268" s="6"/>
      <c r="R268" s="6"/>
      <c r="S268" s="6"/>
      <c r="T268" s="6"/>
      <c r="U268" s="6"/>
      <c r="V268" s="6"/>
      <c r="W268" s="6"/>
      <c r="X268" s="6"/>
    </row>
    <row r="269" hidden="1">
      <c r="A269" s="6"/>
      <c r="B269" s="6"/>
      <c r="C269" s="6"/>
      <c r="D269" s="6"/>
      <c r="E269" s="6"/>
      <c r="F269" s="6"/>
      <c r="G269" s="6" t="str">
        <f>IFERROR(__xludf.DUMMYFUNCTION("""COMPUTED_VALUE"""),"")</f>
        <v/>
      </c>
      <c r="H269" s="6"/>
      <c r="I269" s="6"/>
      <c r="J269" s="6"/>
      <c r="K269" s="6"/>
      <c r="L269" s="6"/>
      <c r="M269" s="6"/>
      <c r="N269" s="6"/>
      <c r="O269" s="6"/>
      <c r="P269" s="6"/>
      <c r="Q269" s="6"/>
      <c r="R269" s="6"/>
      <c r="S269" s="6"/>
      <c r="T269" s="6"/>
      <c r="U269" s="6"/>
      <c r="V269" s="6"/>
      <c r="W269" s="6"/>
      <c r="X269" s="6"/>
    </row>
    <row r="270" hidden="1">
      <c r="A270" s="6"/>
      <c r="B270" s="6"/>
      <c r="C270" s="6"/>
      <c r="D270" s="6"/>
      <c r="E270" s="6"/>
      <c r="F270" s="6"/>
      <c r="G270" s="6" t="str">
        <f>IFERROR(__xludf.DUMMYFUNCTION("""COMPUTED_VALUE"""),"")</f>
        <v/>
      </c>
      <c r="H270" s="6"/>
      <c r="I270" s="6"/>
      <c r="J270" s="6"/>
      <c r="K270" s="6"/>
      <c r="L270" s="6"/>
      <c r="M270" s="6"/>
      <c r="N270" s="6"/>
      <c r="O270" s="6"/>
      <c r="P270" s="6"/>
      <c r="Q270" s="6"/>
      <c r="R270" s="6"/>
      <c r="S270" s="6"/>
      <c r="T270" s="6"/>
      <c r="U270" s="6"/>
      <c r="V270" s="6"/>
      <c r="W270" s="6"/>
      <c r="X270" s="6"/>
    </row>
    <row r="271" hidden="1">
      <c r="A271" s="6"/>
      <c r="B271" s="6"/>
      <c r="C271" s="6"/>
      <c r="D271" s="6"/>
      <c r="E271" s="6"/>
      <c r="F271" s="6"/>
      <c r="G271" s="6" t="str">
        <f>IFERROR(__xludf.DUMMYFUNCTION("""COMPUTED_VALUE"""),"")</f>
        <v/>
      </c>
      <c r="H271" s="6"/>
      <c r="I271" s="6"/>
      <c r="J271" s="6"/>
      <c r="K271" s="6"/>
      <c r="L271" s="6"/>
      <c r="M271" s="6"/>
      <c r="N271" s="6"/>
      <c r="O271" s="6"/>
      <c r="P271" s="6"/>
      <c r="Q271" s="6"/>
      <c r="R271" s="6"/>
      <c r="S271" s="6"/>
      <c r="T271" s="6"/>
      <c r="U271" s="6"/>
      <c r="V271" s="6"/>
      <c r="W271" s="6"/>
      <c r="X271" s="6"/>
    </row>
    <row r="272" hidden="1">
      <c r="A272" s="6"/>
      <c r="B272" s="6"/>
      <c r="C272" s="6"/>
      <c r="D272" s="6"/>
      <c r="E272" s="6"/>
      <c r="F272" s="6"/>
      <c r="G272" s="6" t="str">
        <f>IFERROR(__xludf.DUMMYFUNCTION("""COMPUTED_VALUE"""),"")</f>
        <v/>
      </c>
      <c r="H272" s="6"/>
      <c r="I272" s="6"/>
      <c r="J272" s="6"/>
      <c r="K272" s="6"/>
      <c r="L272" s="6"/>
      <c r="M272" s="6"/>
      <c r="N272" s="6"/>
      <c r="O272" s="6"/>
      <c r="P272" s="6"/>
      <c r="Q272" s="6"/>
      <c r="R272" s="6"/>
      <c r="S272" s="6"/>
      <c r="T272" s="6"/>
      <c r="U272" s="6"/>
      <c r="V272" s="6"/>
      <c r="W272" s="6"/>
      <c r="X272" s="6"/>
    </row>
    <row r="273" hidden="1">
      <c r="A273" s="6"/>
      <c r="B273" s="6"/>
      <c r="C273" s="6"/>
      <c r="D273" s="6"/>
      <c r="E273" s="6"/>
      <c r="F273" s="6"/>
      <c r="G273" s="6" t="str">
        <f>IFERROR(__xludf.DUMMYFUNCTION("""COMPUTED_VALUE"""),"")</f>
        <v/>
      </c>
      <c r="H273" s="6"/>
      <c r="I273" s="6"/>
      <c r="J273" s="6"/>
      <c r="K273" s="6"/>
      <c r="L273" s="6"/>
      <c r="M273" s="6"/>
      <c r="N273" s="6"/>
      <c r="O273" s="6"/>
      <c r="P273" s="6"/>
      <c r="Q273" s="6"/>
      <c r="R273" s="6"/>
      <c r="S273" s="6"/>
      <c r="T273" s="6"/>
      <c r="U273" s="6"/>
      <c r="V273" s="6"/>
      <c r="W273" s="6"/>
      <c r="X273" s="6"/>
    </row>
    <row r="274" hidden="1">
      <c r="A274" s="6"/>
      <c r="B274" s="6"/>
      <c r="C274" s="6"/>
      <c r="D274" s="6"/>
      <c r="E274" s="6"/>
      <c r="F274" s="6"/>
      <c r="G274" s="6" t="str">
        <f>IFERROR(__xludf.DUMMYFUNCTION("""COMPUTED_VALUE"""),"")</f>
        <v/>
      </c>
      <c r="H274" s="6"/>
      <c r="I274" s="6"/>
      <c r="J274" s="6"/>
      <c r="K274" s="6"/>
      <c r="L274" s="6"/>
      <c r="M274" s="6"/>
      <c r="N274" s="6"/>
      <c r="O274" s="6"/>
      <c r="P274" s="6"/>
      <c r="Q274" s="6"/>
      <c r="R274" s="6"/>
      <c r="S274" s="6"/>
      <c r="T274" s="6"/>
      <c r="U274" s="6"/>
      <c r="V274" s="6"/>
      <c r="W274" s="6"/>
      <c r="X274" s="6"/>
    </row>
    <row r="275" hidden="1">
      <c r="A275" s="6"/>
      <c r="B275" s="6"/>
      <c r="C275" s="6"/>
      <c r="D275" s="6"/>
      <c r="E275" s="6"/>
      <c r="F275" s="6"/>
      <c r="G275" s="6" t="str">
        <f>IFERROR(__xludf.DUMMYFUNCTION("""COMPUTED_VALUE"""),"")</f>
        <v/>
      </c>
      <c r="H275" s="6"/>
      <c r="I275" s="6"/>
      <c r="J275" s="6"/>
      <c r="K275" s="6"/>
      <c r="L275" s="6"/>
      <c r="M275" s="6"/>
      <c r="N275" s="6"/>
      <c r="O275" s="6"/>
      <c r="P275" s="6"/>
      <c r="Q275" s="6"/>
      <c r="R275" s="6"/>
      <c r="S275" s="6"/>
      <c r="T275" s="6"/>
      <c r="U275" s="6"/>
      <c r="V275" s="6"/>
      <c r="W275" s="6"/>
      <c r="X275" s="6"/>
    </row>
    <row r="276" hidden="1">
      <c r="A276" s="6"/>
      <c r="B276" s="6"/>
      <c r="C276" s="6"/>
      <c r="D276" s="6"/>
      <c r="E276" s="6"/>
      <c r="F276" s="6"/>
      <c r="G276" s="6" t="str">
        <f>IFERROR(__xludf.DUMMYFUNCTION("""COMPUTED_VALUE"""),"")</f>
        <v/>
      </c>
      <c r="H276" s="6"/>
      <c r="I276" s="6"/>
      <c r="J276" s="6"/>
      <c r="K276" s="6"/>
      <c r="L276" s="6"/>
      <c r="M276" s="6"/>
      <c r="N276" s="6"/>
      <c r="O276" s="6"/>
      <c r="P276" s="6"/>
      <c r="Q276" s="6"/>
      <c r="R276" s="6"/>
      <c r="S276" s="6"/>
      <c r="T276" s="6"/>
      <c r="U276" s="6"/>
      <c r="V276" s="6"/>
      <c r="W276" s="6"/>
      <c r="X276" s="6"/>
    </row>
    <row r="277" hidden="1">
      <c r="A277" s="6"/>
      <c r="B277" s="6"/>
      <c r="C277" s="6"/>
      <c r="D277" s="6"/>
      <c r="E277" s="6"/>
      <c r="F277" s="6"/>
      <c r="G277" s="6" t="str">
        <f>IFERROR(__xludf.DUMMYFUNCTION("""COMPUTED_VALUE"""),"")</f>
        <v/>
      </c>
      <c r="H277" s="6"/>
      <c r="I277" s="6"/>
      <c r="J277" s="6"/>
      <c r="K277" s="6"/>
      <c r="L277" s="6"/>
      <c r="M277" s="6"/>
      <c r="N277" s="6"/>
      <c r="O277" s="6"/>
      <c r="P277" s="6"/>
      <c r="Q277" s="6"/>
      <c r="R277" s="6"/>
      <c r="S277" s="6"/>
      <c r="T277" s="6"/>
      <c r="U277" s="6"/>
      <c r="V277" s="6"/>
      <c r="W277" s="6"/>
      <c r="X277" s="6"/>
    </row>
    <row r="278" hidden="1">
      <c r="A278" s="6"/>
      <c r="B278" s="6"/>
      <c r="C278" s="6"/>
      <c r="D278" s="6"/>
      <c r="E278" s="6"/>
      <c r="F278" s="6"/>
      <c r="G278" s="6" t="str">
        <f>IFERROR(__xludf.DUMMYFUNCTION("""COMPUTED_VALUE"""),"")</f>
        <v/>
      </c>
      <c r="H278" s="6"/>
      <c r="I278" s="6"/>
      <c r="J278" s="6"/>
      <c r="K278" s="6"/>
      <c r="L278" s="6"/>
      <c r="M278" s="6"/>
      <c r="N278" s="6"/>
      <c r="O278" s="6"/>
      <c r="P278" s="6"/>
      <c r="Q278" s="6"/>
      <c r="R278" s="6"/>
      <c r="S278" s="6"/>
      <c r="T278" s="6"/>
      <c r="U278" s="6"/>
      <c r="V278" s="6"/>
      <c r="W278" s="6"/>
      <c r="X278" s="6"/>
    </row>
    <row r="279" hidden="1">
      <c r="A279" s="6"/>
      <c r="B279" s="6"/>
      <c r="C279" s="6"/>
      <c r="D279" s="6"/>
      <c r="E279" s="6"/>
      <c r="F279" s="6"/>
      <c r="G279" s="6" t="str">
        <f>IFERROR(__xludf.DUMMYFUNCTION("""COMPUTED_VALUE"""),"")</f>
        <v/>
      </c>
      <c r="H279" s="6"/>
      <c r="I279" s="6"/>
      <c r="J279" s="6"/>
      <c r="K279" s="6"/>
      <c r="L279" s="6"/>
      <c r="M279" s="6"/>
      <c r="N279" s="6"/>
      <c r="O279" s="6"/>
      <c r="P279" s="6"/>
      <c r="Q279" s="6"/>
      <c r="R279" s="6"/>
      <c r="S279" s="6"/>
      <c r="T279" s="6"/>
      <c r="U279" s="6"/>
      <c r="V279" s="6"/>
      <c r="W279" s="6"/>
      <c r="X279" s="6"/>
    </row>
    <row r="280" hidden="1">
      <c r="A280" s="6"/>
      <c r="B280" s="6"/>
      <c r="C280" s="6"/>
      <c r="D280" s="6"/>
      <c r="E280" s="6"/>
      <c r="F280" s="6"/>
      <c r="G280" s="6" t="str">
        <f>IFERROR(__xludf.DUMMYFUNCTION("""COMPUTED_VALUE"""),"")</f>
        <v/>
      </c>
      <c r="H280" s="6"/>
      <c r="I280" s="6"/>
      <c r="J280" s="6"/>
      <c r="K280" s="6"/>
      <c r="L280" s="6"/>
      <c r="M280" s="6"/>
      <c r="N280" s="6"/>
      <c r="O280" s="6"/>
      <c r="P280" s="6"/>
      <c r="Q280" s="6"/>
      <c r="R280" s="6"/>
      <c r="S280" s="6"/>
      <c r="T280" s="6"/>
      <c r="U280" s="6"/>
      <c r="V280" s="6"/>
      <c r="W280" s="6"/>
      <c r="X280" s="6"/>
    </row>
    <row r="281" hidden="1">
      <c r="A281" s="6"/>
      <c r="B281" s="6"/>
      <c r="C281" s="6"/>
      <c r="D281" s="6"/>
      <c r="E281" s="6"/>
      <c r="F281" s="6"/>
      <c r="G281" s="6" t="str">
        <f>IFERROR(__xludf.DUMMYFUNCTION("""COMPUTED_VALUE"""),"")</f>
        <v/>
      </c>
      <c r="H281" s="6"/>
      <c r="I281" s="6"/>
      <c r="J281" s="6"/>
      <c r="K281" s="6"/>
      <c r="L281" s="6"/>
      <c r="M281" s="6"/>
      <c r="N281" s="6"/>
      <c r="O281" s="6"/>
      <c r="P281" s="6"/>
      <c r="Q281" s="6"/>
      <c r="R281" s="6"/>
      <c r="S281" s="6"/>
      <c r="T281" s="6"/>
      <c r="U281" s="6"/>
      <c r="V281" s="6"/>
      <c r="W281" s="6"/>
      <c r="X281" s="6"/>
    </row>
    <row r="282" hidden="1">
      <c r="A282" s="6"/>
      <c r="B282" s="6"/>
      <c r="C282" s="6"/>
      <c r="D282" s="6"/>
      <c r="E282" s="6"/>
      <c r="F282" s="6"/>
      <c r="G282" s="6" t="str">
        <f>IFERROR(__xludf.DUMMYFUNCTION("""COMPUTED_VALUE"""),"")</f>
        <v/>
      </c>
      <c r="H282" s="6"/>
      <c r="I282" s="6"/>
      <c r="J282" s="6"/>
      <c r="K282" s="6"/>
      <c r="L282" s="6"/>
      <c r="M282" s="6"/>
      <c r="N282" s="6"/>
      <c r="O282" s="6"/>
      <c r="P282" s="6"/>
      <c r="Q282" s="6"/>
      <c r="R282" s="6"/>
      <c r="S282" s="6"/>
      <c r="T282" s="6"/>
      <c r="U282" s="6"/>
      <c r="V282" s="6"/>
      <c r="W282" s="6"/>
      <c r="X282" s="6"/>
    </row>
    <row r="283" hidden="1">
      <c r="A283" s="6"/>
      <c r="B283" s="6"/>
      <c r="C283" s="6"/>
      <c r="D283" s="6"/>
      <c r="E283" s="6"/>
      <c r="F283" s="6"/>
      <c r="G283" s="6" t="str">
        <f>IFERROR(__xludf.DUMMYFUNCTION("""COMPUTED_VALUE"""),"")</f>
        <v/>
      </c>
      <c r="H283" s="6"/>
      <c r="I283" s="6"/>
      <c r="J283" s="6"/>
      <c r="K283" s="6"/>
      <c r="L283" s="6"/>
      <c r="M283" s="6"/>
      <c r="N283" s="6"/>
      <c r="O283" s="6"/>
      <c r="P283" s="6"/>
      <c r="Q283" s="6"/>
      <c r="R283" s="6"/>
      <c r="S283" s="6"/>
      <c r="T283" s="6"/>
      <c r="U283" s="6"/>
      <c r="V283" s="6"/>
      <c r="W283" s="6"/>
      <c r="X283" s="6"/>
    </row>
    <row r="284" hidden="1">
      <c r="A284" s="6"/>
      <c r="B284" s="6"/>
      <c r="C284" s="6"/>
      <c r="D284" s="6"/>
      <c r="E284" s="6"/>
      <c r="F284" s="6"/>
      <c r="G284" s="6" t="str">
        <f>IFERROR(__xludf.DUMMYFUNCTION("""COMPUTED_VALUE"""),"")</f>
        <v/>
      </c>
      <c r="H284" s="6"/>
      <c r="I284" s="6"/>
      <c r="J284" s="6"/>
      <c r="K284" s="6"/>
      <c r="L284" s="6"/>
      <c r="M284" s="6"/>
      <c r="N284" s="6"/>
      <c r="O284" s="6"/>
      <c r="P284" s="6"/>
      <c r="Q284" s="6"/>
      <c r="R284" s="6"/>
      <c r="S284" s="6"/>
      <c r="T284" s="6"/>
      <c r="U284" s="6"/>
      <c r="V284" s="6"/>
      <c r="W284" s="6"/>
      <c r="X284" s="6"/>
    </row>
    <row r="285" hidden="1">
      <c r="A285" s="6"/>
      <c r="B285" s="6"/>
      <c r="C285" s="6"/>
      <c r="D285" s="6"/>
      <c r="E285" s="6"/>
      <c r="F285" s="6"/>
      <c r="G285" s="6" t="str">
        <f>IFERROR(__xludf.DUMMYFUNCTION("""COMPUTED_VALUE"""),"")</f>
        <v/>
      </c>
      <c r="H285" s="6"/>
      <c r="I285" s="6"/>
      <c r="J285" s="6"/>
      <c r="K285" s="6"/>
      <c r="L285" s="6"/>
      <c r="M285" s="6"/>
      <c r="N285" s="6"/>
      <c r="O285" s="6"/>
      <c r="P285" s="6"/>
      <c r="Q285" s="6"/>
      <c r="R285" s="6"/>
      <c r="S285" s="6"/>
      <c r="T285" s="6"/>
      <c r="U285" s="6"/>
      <c r="V285" s="6"/>
      <c r="W285" s="6"/>
      <c r="X285" s="6"/>
    </row>
    <row r="286" hidden="1">
      <c r="A286" s="6"/>
      <c r="B286" s="6"/>
      <c r="C286" s="6"/>
      <c r="D286" s="6"/>
      <c r="E286" s="6"/>
      <c r="F286" s="6"/>
      <c r="G286" s="6" t="str">
        <f>IFERROR(__xludf.DUMMYFUNCTION("""COMPUTED_VALUE"""),"")</f>
        <v/>
      </c>
      <c r="H286" s="6"/>
      <c r="I286" s="6"/>
      <c r="J286" s="6"/>
      <c r="K286" s="6"/>
      <c r="L286" s="6"/>
      <c r="M286" s="6"/>
      <c r="N286" s="6"/>
      <c r="O286" s="6"/>
      <c r="P286" s="6"/>
      <c r="Q286" s="6"/>
      <c r="R286" s="6"/>
      <c r="S286" s="6"/>
      <c r="T286" s="6"/>
      <c r="U286" s="6"/>
      <c r="V286" s="6"/>
      <c r="W286" s="6"/>
      <c r="X286" s="6"/>
    </row>
    <row r="287" hidden="1">
      <c r="A287" s="6"/>
      <c r="B287" s="6"/>
      <c r="C287" s="6"/>
      <c r="D287" s="6"/>
      <c r="E287" s="6"/>
      <c r="F287" s="6"/>
      <c r="G287" s="6" t="str">
        <f>IFERROR(__xludf.DUMMYFUNCTION("""COMPUTED_VALUE"""),"")</f>
        <v/>
      </c>
      <c r="H287" s="6"/>
      <c r="I287" s="6"/>
      <c r="J287" s="6"/>
      <c r="K287" s="6"/>
      <c r="L287" s="6"/>
      <c r="M287" s="6"/>
      <c r="N287" s="6"/>
      <c r="O287" s="6"/>
      <c r="P287" s="6"/>
      <c r="Q287" s="6"/>
      <c r="R287" s="6"/>
      <c r="S287" s="6"/>
      <c r="T287" s="6"/>
      <c r="U287" s="6"/>
      <c r="V287" s="6"/>
      <c r="W287" s="6"/>
      <c r="X287" s="6"/>
    </row>
    <row r="288" hidden="1">
      <c r="A288" s="6"/>
      <c r="B288" s="6"/>
      <c r="C288" s="6"/>
      <c r="D288" s="6"/>
      <c r="E288" s="6"/>
      <c r="F288" s="6"/>
      <c r="G288" s="6" t="str">
        <f>IFERROR(__xludf.DUMMYFUNCTION("""COMPUTED_VALUE"""),"")</f>
        <v/>
      </c>
      <c r="H288" s="6"/>
      <c r="I288" s="6"/>
      <c r="J288" s="6"/>
      <c r="K288" s="6"/>
      <c r="L288" s="6"/>
      <c r="M288" s="6"/>
      <c r="N288" s="6"/>
      <c r="O288" s="6"/>
      <c r="P288" s="6"/>
      <c r="Q288" s="6"/>
      <c r="R288" s="6"/>
      <c r="S288" s="6"/>
      <c r="T288" s="6"/>
      <c r="U288" s="6"/>
      <c r="V288" s="6"/>
      <c r="W288" s="6"/>
      <c r="X288" s="6"/>
    </row>
    <row r="289" hidden="1">
      <c r="A289" s="6"/>
      <c r="B289" s="6"/>
      <c r="C289" s="6"/>
      <c r="D289" s="6"/>
      <c r="E289" s="6"/>
      <c r="F289" s="6"/>
      <c r="G289" s="6" t="str">
        <f>IFERROR(__xludf.DUMMYFUNCTION("""COMPUTED_VALUE"""),"")</f>
        <v/>
      </c>
      <c r="H289" s="6"/>
      <c r="I289" s="6"/>
      <c r="J289" s="6"/>
      <c r="K289" s="6"/>
      <c r="L289" s="6"/>
      <c r="M289" s="6"/>
      <c r="N289" s="6"/>
      <c r="O289" s="6"/>
      <c r="P289" s="6"/>
      <c r="Q289" s="6"/>
      <c r="R289" s="6"/>
      <c r="S289" s="6"/>
      <c r="T289" s="6"/>
      <c r="U289" s="6"/>
      <c r="V289" s="6"/>
      <c r="W289" s="6"/>
      <c r="X289" s="6"/>
    </row>
    <row r="290" hidden="1">
      <c r="A290" s="6"/>
      <c r="B290" s="6"/>
      <c r="C290" s="6"/>
      <c r="D290" s="6"/>
      <c r="E290" s="6"/>
      <c r="F290" s="6"/>
      <c r="G290" s="6" t="str">
        <f>IFERROR(__xludf.DUMMYFUNCTION("""COMPUTED_VALUE"""),"")</f>
        <v/>
      </c>
      <c r="H290" s="6"/>
      <c r="I290" s="6"/>
      <c r="J290" s="6"/>
      <c r="K290" s="6"/>
      <c r="L290" s="6"/>
      <c r="M290" s="6"/>
      <c r="N290" s="6"/>
      <c r="O290" s="6"/>
      <c r="P290" s="6"/>
      <c r="Q290" s="6"/>
      <c r="R290" s="6"/>
      <c r="S290" s="6"/>
      <c r="T290" s="6"/>
      <c r="U290" s="6"/>
      <c r="V290" s="6"/>
      <c r="W290" s="6"/>
      <c r="X290" s="6"/>
    </row>
    <row r="291" hidden="1">
      <c r="A291" s="6"/>
      <c r="B291" s="6"/>
      <c r="C291" s="6"/>
      <c r="D291" s="6"/>
      <c r="E291" s="6"/>
      <c r="F291" s="6"/>
      <c r="G291" s="6" t="str">
        <f>IFERROR(__xludf.DUMMYFUNCTION("""COMPUTED_VALUE"""),"")</f>
        <v/>
      </c>
      <c r="H291" s="6"/>
      <c r="I291" s="6"/>
      <c r="J291" s="6"/>
      <c r="K291" s="6"/>
      <c r="L291" s="6"/>
      <c r="M291" s="6"/>
      <c r="N291" s="6"/>
      <c r="O291" s="6"/>
      <c r="P291" s="6"/>
      <c r="Q291" s="6"/>
      <c r="R291" s="6"/>
      <c r="S291" s="6"/>
      <c r="T291" s="6"/>
      <c r="U291" s="6"/>
      <c r="V291" s="6"/>
      <c r="W291" s="6"/>
      <c r="X291" s="6"/>
    </row>
    <row r="292" hidden="1">
      <c r="A292" s="6"/>
      <c r="B292" s="6"/>
      <c r="C292" s="6"/>
      <c r="D292" s="6"/>
      <c r="E292" s="6"/>
      <c r="F292" s="6"/>
      <c r="G292" s="6" t="str">
        <f>IFERROR(__xludf.DUMMYFUNCTION("""COMPUTED_VALUE"""),"")</f>
        <v/>
      </c>
      <c r="H292" s="6"/>
      <c r="I292" s="6"/>
      <c r="J292" s="6"/>
      <c r="K292" s="6"/>
      <c r="L292" s="6"/>
      <c r="M292" s="6"/>
      <c r="N292" s="6"/>
      <c r="O292" s="6"/>
      <c r="P292" s="6"/>
      <c r="Q292" s="6"/>
      <c r="R292" s="6"/>
      <c r="S292" s="6"/>
      <c r="T292" s="6"/>
      <c r="U292" s="6"/>
      <c r="V292" s="6"/>
      <c r="W292" s="6"/>
      <c r="X292" s="6"/>
    </row>
    <row r="293" hidden="1">
      <c r="A293" s="6"/>
      <c r="B293" s="6"/>
      <c r="C293" s="6"/>
      <c r="D293" s="6"/>
      <c r="E293" s="6"/>
      <c r="F293" s="6"/>
      <c r="G293" s="6" t="str">
        <f>IFERROR(__xludf.DUMMYFUNCTION("""COMPUTED_VALUE"""),"")</f>
        <v/>
      </c>
      <c r="H293" s="6"/>
      <c r="I293" s="6"/>
      <c r="J293" s="6"/>
      <c r="K293" s="6"/>
      <c r="L293" s="6"/>
      <c r="M293" s="6"/>
      <c r="N293" s="6"/>
      <c r="O293" s="6"/>
      <c r="P293" s="6"/>
      <c r="Q293" s="6"/>
      <c r="R293" s="6"/>
      <c r="S293" s="6"/>
      <c r="T293" s="6"/>
      <c r="U293" s="6"/>
      <c r="V293" s="6"/>
      <c r="W293" s="6"/>
      <c r="X293" s="6"/>
    </row>
    <row r="294" hidden="1">
      <c r="A294" s="6"/>
      <c r="B294" s="6"/>
      <c r="C294" s="6"/>
      <c r="D294" s="6"/>
      <c r="E294" s="6"/>
      <c r="F294" s="6"/>
      <c r="G294" s="6" t="str">
        <f>IFERROR(__xludf.DUMMYFUNCTION("""COMPUTED_VALUE"""),"")</f>
        <v/>
      </c>
      <c r="H294" s="6"/>
      <c r="I294" s="6"/>
      <c r="J294" s="6"/>
      <c r="K294" s="6"/>
      <c r="L294" s="6"/>
      <c r="M294" s="6"/>
      <c r="N294" s="6"/>
      <c r="O294" s="6"/>
      <c r="P294" s="6"/>
      <c r="Q294" s="6"/>
      <c r="R294" s="6"/>
      <c r="S294" s="6"/>
      <c r="T294" s="6"/>
      <c r="U294" s="6"/>
      <c r="V294" s="6"/>
      <c r="W294" s="6"/>
      <c r="X294" s="6"/>
    </row>
    <row r="295" hidden="1">
      <c r="A295" s="6"/>
      <c r="B295" s="6"/>
      <c r="C295" s="6"/>
      <c r="D295" s="6"/>
      <c r="E295" s="6"/>
      <c r="F295" s="6"/>
      <c r="G295" s="6" t="str">
        <f>IFERROR(__xludf.DUMMYFUNCTION("""COMPUTED_VALUE"""),"")</f>
        <v/>
      </c>
      <c r="H295" s="6"/>
      <c r="I295" s="6"/>
      <c r="J295" s="6"/>
      <c r="K295" s="6"/>
      <c r="L295" s="6"/>
      <c r="M295" s="6"/>
      <c r="N295" s="6"/>
      <c r="O295" s="6"/>
      <c r="P295" s="6"/>
      <c r="Q295" s="6"/>
      <c r="R295" s="6"/>
      <c r="S295" s="6"/>
      <c r="T295" s="6"/>
      <c r="U295" s="6"/>
      <c r="V295" s="6"/>
      <c r="W295" s="6"/>
      <c r="X295" s="6"/>
    </row>
    <row r="296" hidden="1">
      <c r="A296" s="6"/>
      <c r="B296" s="6"/>
      <c r="C296" s="6"/>
      <c r="D296" s="6"/>
      <c r="E296" s="6"/>
      <c r="F296" s="6"/>
      <c r="G296" s="6" t="str">
        <f>IFERROR(__xludf.DUMMYFUNCTION("""COMPUTED_VALUE"""),"")</f>
        <v/>
      </c>
      <c r="H296" s="6"/>
      <c r="I296" s="6"/>
      <c r="J296" s="6"/>
      <c r="K296" s="6"/>
      <c r="L296" s="6"/>
      <c r="M296" s="6"/>
      <c r="N296" s="6"/>
      <c r="O296" s="6"/>
      <c r="P296" s="6"/>
      <c r="Q296" s="6"/>
      <c r="R296" s="6"/>
      <c r="S296" s="6"/>
      <c r="T296" s="6"/>
      <c r="U296" s="6"/>
      <c r="V296" s="6"/>
      <c r="W296" s="6"/>
      <c r="X296" s="6"/>
    </row>
    <row r="297" hidden="1">
      <c r="A297" s="6"/>
      <c r="B297" s="6"/>
      <c r="C297" s="6"/>
      <c r="D297" s="6"/>
      <c r="E297" s="6"/>
      <c r="F297" s="6"/>
      <c r="G297" s="6" t="str">
        <f>IFERROR(__xludf.DUMMYFUNCTION("""COMPUTED_VALUE"""),"")</f>
        <v/>
      </c>
      <c r="H297" s="6"/>
      <c r="I297" s="6"/>
      <c r="J297" s="6"/>
      <c r="K297" s="6"/>
      <c r="L297" s="6"/>
      <c r="M297" s="6"/>
      <c r="N297" s="6"/>
      <c r="O297" s="6"/>
      <c r="P297" s="6"/>
      <c r="Q297" s="6"/>
      <c r="R297" s="6"/>
      <c r="S297" s="6"/>
      <c r="T297" s="6"/>
      <c r="U297" s="6"/>
      <c r="V297" s="6"/>
      <c r="W297" s="6"/>
      <c r="X297" s="6"/>
    </row>
    <row r="298" hidden="1">
      <c r="A298" s="6"/>
      <c r="B298" s="6"/>
      <c r="C298" s="6"/>
      <c r="D298" s="6"/>
      <c r="E298" s="6"/>
      <c r="F298" s="6"/>
      <c r="G298" s="6" t="str">
        <f>IFERROR(__xludf.DUMMYFUNCTION("""COMPUTED_VALUE"""),"")</f>
        <v/>
      </c>
      <c r="H298" s="6"/>
      <c r="I298" s="6"/>
      <c r="J298" s="6"/>
      <c r="K298" s="6"/>
      <c r="L298" s="6"/>
      <c r="M298" s="6"/>
      <c r="N298" s="6"/>
      <c r="O298" s="6"/>
      <c r="P298" s="6"/>
      <c r="Q298" s="6"/>
      <c r="R298" s="6"/>
      <c r="S298" s="6"/>
      <c r="T298" s="6"/>
      <c r="U298" s="6"/>
      <c r="V298" s="6"/>
      <c r="W298" s="6"/>
      <c r="X298" s="6"/>
    </row>
    <row r="299" hidden="1">
      <c r="A299" s="6"/>
      <c r="B299" s="6"/>
      <c r="C299" s="6"/>
      <c r="D299" s="6"/>
      <c r="E299" s="6"/>
      <c r="F299" s="6"/>
      <c r="G299" s="6" t="str">
        <f>IFERROR(__xludf.DUMMYFUNCTION("""COMPUTED_VALUE"""),"")</f>
        <v/>
      </c>
      <c r="H299" s="6"/>
      <c r="I299" s="6"/>
      <c r="J299" s="6"/>
      <c r="K299" s="6"/>
      <c r="L299" s="6"/>
      <c r="M299" s="6"/>
      <c r="N299" s="6"/>
      <c r="O299" s="6"/>
      <c r="P299" s="6"/>
      <c r="Q299" s="6"/>
      <c r="R299" s="6"/>
      <c r="S299" s="6"/>
      <c r="T299" s="6"/>
      <c r="U299" s="6"/>
      <c r="V299" s="6"/>
      <c r="W299" s="6"/>
      <c r="X299" s="6"/>
    </row>
    <row r="300" hidden="1">
      <c r="A300" s="6"/>
      <c r="B300" s="6"/>
      <c r="C300" s="6"/>
      <c r="D300" s="6"/>
      <c r="E300" s="6"/>
      <c r="F300" s="6"/>
      <c r="G300" s="6" t="str">
        <f>IFERROR(__xludf.DUMMYFUNCTION("""COMPUTED_VALUE"""),"")</f>
        <v/>
      </c>
      <c r="H300" s="6"/>
      <c r="I300" s="6"/>
      <c r="J300" s="6"/>
      <c r="K300" s="6"/>
      <c r="L300" s="6"/>
      <c r="M300" s="6"/>
      <c r="N300" s="6"/>
      <c r="O300" s="6"/>
      <c r="P300" s="6"/>
      <c r="Q300" s="6"/>
      <c r="R300" s="6"/>
      <c r="S300" s="6"/>
      <c r="T300" s="6"/>
      <c r="U300" s="6"/>
      <c r="V300" s="6"/>
      <c r="W300" s="6"/>
      <c r="X300" s="6"/>
    </row>
    <row r="301" hidden="1">
      <c r="A301" s="6"/>
      <c r="B301" s="6"/>
      <c r="C301" s="6"/>
      <c r="D301" s="6"/>
      <c r="E301" s="6"/>
      <c r="F301" s="6"/>
      <c r="G301" s="6" t="str">
        <f>IFERROR(__xludf.DUMMYFUNCTION("""COMPUTED_VALUE"""),"")</f>
        <v/>
      </c>
      <c r="H301" s="6"/>
      <c r="I301" s="6"/>
      <c r="J301" s="6"/>
      <c r="K301" s="6"/>
      <c r="L301" s="6"/>
      <c r="M301" s="6"/>
      <c r="N301" s="6"/>
      <c r="O301" s="6"/>
      <c r="P301" s="6"/>
      <c r="Q301" s="6"/>
      <c r="R301" s="6"/>
      <c r="S301" s="6"/>
      <c r="T301" s="6"/>
      <c r="U301" s="6"/>
      <c r="V301" s="6"/>
      <c r="W301" s="6"/>
      <c r="X301" s="6"/>
    </row>
    <row r="302" hidden="1">
      <c r="A302" s="6"/>
      <c r="B302" s="6"/>
      <c r="C302" s="6"/>
      <c r="D302" s="6"/>
      <c r="E302" s="6"/>
      <c r="F302" s="6"/>
      <c r="G302" s="6" t="str">
        <f>IFERROR(__xludf.DUMMYFUNCTION("""COMPUTED_VALUE"""),"")</f>
        <v/>
      </c>
      <c r="H302" s="6"/>
      <c r="I302" s="6"/>
      <c r="J302" s="6"/>
      <c r="K302" s="6"/>
      <c r="L302" s="6"/>
      <c r="M302" s="6"/>
      <c r="N302" s="6"/>
      <c r="O302" s="6"/>
      <c r="P302" s="6"/>
      <c r="Q302" s="6"/>
      <c r="R302" s="6"/>
      <c r="S302" s="6"/>
      <c r="T302" s="6"/>
      <c r="U302" s="6"/>
      <c r="V302" s="6"/>
      <c r="W302" s="6"/>
      <c r="X302" s="6"/>
    </row>
    <row r="303" hidden="1">
      <c r="A303" s="6"/>
      <c r="B303" s="6"/>
      <c r="C303" s="6"/>
      <c r="D303" s="6"/>
      <c r="E303" s="6"/>
      <c r="F303" s="6"/>
      <c r="G303" s="6" t="str">
        <f>IFERROR(__xludf.DUMMYFUNCTION("""COMPUTED_VALUE"""),"")</f>
        <v/>
      </c>
      <c r="H303" s="6"/>
      <c r="I303" s="6"/>
      <c r="J303" s="6"/>
      <c r="K303" s="6"/>
      <c r="L303" s="6"/>
      <c r="M303" s="6"/>
      <c r="N303" s="6"/>
      <c r="O303" s="6"/>
      <c r="P303" s="6"/>
      <c r="Q303" s="6"/>
      <c r="R303" s="6"/>
      <c r="S303" s="6"/>
      <c r="T303" s="6"/>
      <c r="U303" s="6"/>
      <c r="V303" s="6"/>
      <c r="W303" s="6"/>
      <c r="X303" s="6"/>
    </row>
    <row r="304" hidden="1">
      <c r="A304" s="6"/>
      <c r="B304" s="6"/>
      <c r="C304" s="6"/>
      <c r="D304" s="6"/>
      <c r="E304" s="6"/>
      <c r="F304" s="6"/>
      <c r="G304" s="6" t="str">
        <f>IFERROR(__xludf.DUMMYFUNCTION("""COMPUTED_VALUE"""),"")</f>
        <v/>
      </c>
      <c r="H304" s="6"/>
      <c r="I304" s="6"/>
      <c r="J304" s="6"/>
      <c r="K304" s="6"/>
      <c r="L304" s="6"/>
      <c r="M304" s="6"/>
      <c r="N304" s="6"/>
      <c r="O304" s="6"/>
      <c r="P304" s="6"/>
      <c r="Q304" s="6"/>
      <c r="R304" s="6"/>
      <c r="S304" s="6"/>
      <c r="T304" s="6"/>
      <c r="U304" s="6"/>
      <c r="V304" s="6"/>
      <c r="W304" s="6"/>
      <c r="X304" s="6"/>
    </row>
    <row r="305" hidden="1">
      <c r="A305" s="6"/>
      <c r="B305" s="6"/>
      <c r="C305" s="6"/>
      <c r="D305" s="6"/>
      <c r="E305" s="6"/>
      <c r="F305" s="6"/>
      <c r="G305" s="6" t="str">
        <f>IFERROR(__xludf.DUMMYFUNCTION("""COMPUTED_VALUE"""),"")</f>
        <v/>
      </c>
      <c r="H305" s="6"/>
      <c r="I305" s="6"/>
      <c r="J305" s="6"/>
      <c r="K305" s="6"/>
      <c r="L305" s="6"/>
      <c r="M305" s="6"/>
      <c r="N305" s="6"/>
      <c r="O305" s="6"/>
      <c r="P305" s="6"/>
      <c r="Q305" s="6"/>
      <c r="R305" s="6"/>
      <c r="S305" s="6"/>
      <c r="T305" s="6"/>
      <c r="U305" s="6"/>
      <c r="V305" s="6"/>
      <c r="W305" s="6"/>
      <c r="X305" s="6"/>
    </row>
    <row r="306" hidden="1">
      <c r="A306" s="6"/>
      <c r="B306" s="6"/>
      <c r="C306" s="6"/>
      <c r="D306" s="6"/>
      <c r="E306" s="6"/>
      <c r="F306" s="6"/>
      <c r="G306" s="6" t="str">
        <f>IFERROR(__xludf.DUMMYFUNCTION("""COMPUTED_VALUE"""),"")</f>
        <v/>
      </c>
      <c r="H306" s="6"/>
      <c r="I306" s="6"/>
      <c r="J306" s="6"/>
      <c r="K306" s="6"/>
      <c r="L306" s="6"/>
      <c r="M306" s="6"/>
      <c r="N306" s="6"/>
      <c r="O306" s="6"/>
      <c r="P306" s="6"/>
      <c r="Q306" s="6"/>
      <c r="R306" s="6"/>
      <c r="S306" s="6"/>
      <c r="T306" s="6"/>
      <c r="U306" s="6"/>
      <c r="V306" s="6"/>
      <c r="W306" s="6"/>
      <c r="X306" s="6"/>
    </row>
    <row r="307" hidden="1">
      <c r="A307" s="6"/>
      <c r="B307" s="6"/>
      <c r="C307" s="6"/>
      <c r="D307" s="6"/>
      <c r="E307" s="6"/>
      <c r="F307" s="6"/>
      <c r="G307" s="6" t="str">
        <f>IFERROR(__xludf.DUMMYFUNCTION("""COMPUTED_VALUE"""),"")</f>
        <v/>
      </c>
      <c r="H307" s="6"/>
      <c r="I307" s="6"/>
      <c r="J307" s="6"/>
      <c r="K307" s="6"/>
      <c r="L307" s="6"/>
      <c r="M307" s="6"/>
      <c r="N307" s="6"/>
      <c r="O307" s="6"/>
      <c r="P307" s="6"/>
      <c r="Q307" s="6"/>
      <c r="R307" s="6"/>
      <c r="S307" s="6"/>
      <c r="T307" s="6"/>
      <c r="U307" s="6"/>
      <c r="V307" s="6"/>
      <c r="W307" s="6"/>
      <c r="X307" s="6"/>
    </row>
    <row r="308" hidden="1">
      <c r="A308" s="6"/>
      <c r="B308" s="6"/>
      <c r="C308" s="6"/>
      <c r="D308" s="6"/>
      <c r="E308" s="6"/>
      <c r="F308" s="6"/>
      <c r="G308" s="6" t="str">
        <f>IFERROR(__xludf.DUMMYFUNCTION("""COMPUTED_VALUE"""),"")</f>
        <v/>
      </c>
      <c r="H308" s="6"/>
      <c r="I308" s="6"/>
      <c r="J308" s="6"/>
      <c r="K308" s="6"/>
      <c r="L308" s="6"/>
      <c r="M308" s="6"/>
      <c r="N308" s="6"/>
      <c r="O308" s="6"/>
      <c r="P308" s="6"/>
      <c r="Q308" s="6"/>
      <c r="R308" s="6"/>
      <c r="S308" s="6"/>
      <c r="T308" s="6"/>
      <c r="U308" s="6"/>
      <c r="V308" s="6"/>
      <c r="W308" s="6"/>
      <c r="X308" s="6"/>
    </row>
    <row r="309" hidden="1">
      <c r="A309" s="6"/>
      <c r="B309" s="6"/>
      <c r="C309" s="6"/>
      <c r="D309" s="6"/>
      <c r="E309" s="6"/>
      <c r="F309" s="6"/>
      <c r="G309" s="6" t="str">
        <f>IFERROR(__xludf.DUMMYFUNCTION("""COMPUTED_VALUE"""),"")</f>
        <v/>
      </c>
      <c r="H309" s="6"/>
      <c r="I309" s="6"/>
      <c r="J309" s="6"/>
      <c r="K309" s="6"/>
      <c r="L309" s="6"/>
      <c r="M309" s="6"/>
      <c r="N309" s="6"/>
      <c r="O309" s="6"/>
      <c r="P309" s="6"/>
      <c r="Q309" s="6"/>
      <c r="R309" s="6"/>
      <c r="S309" s="6"/>
      <c r="T309" s="6"/>
      <c r="U309" s="6"/>
      <c r="V309" s="6"/>
      <c r="W309" s="6"/>
      <c r="X309" s="6"/>
    </row>
    <row r="310" hidden="1">
      <c r="A310" s="6"/>
      <c r="B310" s="6"/>
      <c r="C310" s="6"/>
      <c r="D310" s="6"/>
      <c r="E310" s="6"/>
      <c r="F310" s="6"/>
      <c r="G310" s="6" t="str">
        <f>IFERROR(__xludf.DUMMYFUNCTION("""COMPUTED_VALUE"""),"")</f>
        <v/>
      </c>
      <c r="H310" s="6"/>
      <c r="I310" s="6"/>
      <c r="J310" s="6"/>
      <c r="K310" s="6"/>
      <c r="L310" s="6"/>
      <c r="M310" s="6"/>
      <c r="N310" s="6"/>
      <c r="O310" s="6"/>
      <c r="P310" s="6"/>
      <c r="Q310" s="6"/>
      <c r="R310" s="6"/>
      <c r="S310" s="6"/>
      <c r="T310" s="6"/>
      <c r="U310" s="6"/>
      <c r="V310" s="6"/>
      <c r="W310" s="6"/>
      <c r="X310" s="6"/>
    </row>
    <row r="311" hidden="1">
      <c r="A311" s="6"/>
      <c r="B311" s="6"/>
      <c r="C311" s="6"/>
      <c r="D311" s="6"/>
      <c r="E311" s="6"/>
      <c r="F311" s="6"/>
      <c r="G311" s="6" t="str">
        <f>IFERROR(__xludf.DUMMYFUNCTION("""COMPUTED_VALUE"""),"")</f>
        <v/>
      </c>
      <c r="H311" s="6"/>
      <c r="I311" s="6"/>
      <c r="J311" s="6"/>
      <c r="K311" s="6"/>
      <c r="L311" s="6"/>
      <c r="M311" s="6"/>
      <c r="N311" s="6"/>
      <c r="O311" s="6"/>
      <c r="P311" s="6"/>
      <c r="Q311" s="6"/>
      <c r="R311" s="6"/>
      <c r="S311" s="6"/>
      <c r="T311" s="6"/>
      <c r="U311" s="6"/>
      <c r="V311" s="6"/>
      <c r="W311" s="6"/>
      <c r="X311" s="6"/>
    </row>
    <row r="312" hidden="1">
      <c r="A312" s="6"/>
      <c r="B312" s="6"/>
      <c r="C312" s="6"/>
      <c r="D312" s="6"/>
      <c r="E312" s="6"/>
      <c r="F312" s="6"/>
      <c r="G312" s="6" t="str">
        <f>IFERROR(__xludf.DUMMYFUNCTION("""COMPUTED_VALUE"""),"")</f>
        <v/>
      </c>
      <c r="H312" s="6"/>
      <c r="I312" s="6"/>
      <c r="J312" s="6"/>
      <c r="K312" s="6"/>
      <c r="L312" s="6"/>
      <c r="M312" s="6"/>
      <c r="N312" s="6"/>
      <c r="O312" s="6"/>
      <c r="P312" s="6"/>
      <c r="Q312" s="6"/>
      <c r="R312" s="6"/>
      <c r="S312" s="6"/>
      <c r="T312" s="6"/>
      <c r="U312" s="6"/>
      <c r="V312" s="6"/>
      <c r="W312" s="6"/>
      <c r="X312" s="6"/>
    </row>
    <row r="313" hidden="1">
      <c r="A313" s="6"/>
      <c r="B313" s="6"/>
      <c r="C313" s="6"/>
      <c r="D313" s="6"/>
      <c r="E313" s="6"/>
      <c r="F313" s="6"/>
      <c r="G313" s="6" t="str">
        <f>IFERROR(__xludf.DUMMYFUNCTION("""COMPUTED_VALUE"""),"")</f>
        <v/>
      </c>
      <c r="H313" s="6"/>
      <c r="I313" s="6"/>
      <c r="J313" s="6"/>
      <c r="K313" s="6"/>
      <c r="L313" s="6"/>
      <c r="M313" s="6"/>
      <c r="N313" s="6"/>
      <c r="O313" s="6"/>
      <c r="P313" s="6"/>
      <c r="Q313" s="6"/>
      <c r="R313" s="6"/>
      <c r="S313" s="6"/>
      <c r="T313" s="6"/>
      <c r="U313" s="6"/>
      <c r="V313" s="6"/>
      <c r="W313" s="6"/>
      <c r="X313" s="6"/>
    </row>
    <row r="314" hidden="1">
      <c r="A314" s="6"/>
      <c r="B314" s="6"/>
      <c r="C314" s="6"/>
      <c r="D314" s="6"/>
      <c r="E314" s="6"/>
      <c r="F314" s="6"/>
      <c r="G314" s="6" t="str">
        <f>IFERROR(__xludf.DUMMYFUNCTION("""COMPUTED_VALUE"""),"")</f>
        <v/>
      </c>
      <c r="H314" s="6"/>
      <c r="I314" s="6"/>
      <c r="J314" s="6"/>
      <c r="K314" s="6"/>
      <c r="L314" s="6"/>
      <c r="M314" s="6"/>
      <c r="N314" s="6"/>
      <c r="O314" s="6"/>
      <c r="P314" s="6"/>
      <c r="Q314" s="6"/>
      <c r="R314" s="6"/>
      <c r="S314" s="6"/>
      <c r="T314" s="6"/>
      <c r="U314" s="6"/>
      <c r="V314" s="6"/>
      <c r="W314" s="6"/>
      <c r="X314" s="6"/>
    </row>
    <row r="315" hidden="1">
      <c r="A315" s="6"/>
      <c r="B315" s="6"/>
      <c r="C315" s="6"/>
      <c r="D315" s="6"/>
      <c r="E315" s="6"/>
      <c r="F315" s="6"/>
      <c r="G315" s="6" t="str">
        <f>IFERROR(__xludf.DUMMYFUNCTION("""COMPUTED_VALUE"""),"")</f>
        <v/>
      </c>
      <c r="H315" s="6"/>
      <c r="I315" s="6"/>
      <c r="J315" s="6"/>
      <c r="K315" s="6"/>
      <c r="L315" s="6"/>
      <c r="M315" s="6"/>
      <c r="N315" s="6"/>
      <c r="O315" s="6"/>
      <c r="P315" s="6"/>
      <c r="Q315" s="6"/>
      <c r="R315" s="6"/>
      <c r="S315" s="6"/>
      <c r="T315" s="6"/>
      <c r="U315" s="6"/>
      <c r="V315" s="6"/>
      <c r="W315" s="6"/>
      <c r="X315" s="6"/>
    </row>
    <row r="316" hidden="1">
      <c r="A316" s="6"/>
      <c r="B316" s="6"/>
      <c r="C316" s="6"/>
      <c r="D316" s="6"/>
      <c r="E316" s="6"/>
      <c r="F316" s="6"/>
      <c r="G316" s="6" t="str">
        <f>IFERROR(__xludf.DUMMYFUNCTION("""COMPUTED_VALUE"""),"")</f>
        <v/>
      </c>
      <c r="H316" s="6"/>
      <c r="I316" s="6"/>
      <c r="J316" s="6"/>
      <c r="K316" s="6"/>
      <c r="L316" s="6"/>
      <c r="M316" s="6"/>
      <c r="N316" s="6"/>
      <c r="O316" s="6"/>
      <c r="P316" s="6"/>
      <c r="Q316" s="6"/>
      <c r="R316" s="6"/>
      <c r="S316" s="6"/>
      <c r="T316" s="6"/>
      <c r="U316" s="6"/>
      <c r="V316" s="6"/>
      <c r="W316" s="6"/>
      <c r="X316" s="6"/>
    </row>
    <row r="317" hidden="1">
      <c r="A317" s="6"/>
      <c r="B317" s="6"/>
      <c r="C317" s="6"/>
      <c r="D317" s="6"/>
      <c r="E317" s="6"/>
      <c r="F317" s="6"/>
      <c r="G317" s="6" t="str">
        <f>IFERROR(__xludf.DUMMYFUNCTION("""COMPUTED_VALUE"""),"")</f>
        <v/>
      </c>
      <c r="H317" s="6"/>
      <c r="I317" s="6"/>
      <c r="J317" s="6"/>
      <c r="K317" s="6"/>
      <c r="L317" s="6"/>
      <c r="M317" s="6"/>
      <c r="N317" s="6"/>
      <c r="O317" s="6"/>
      <c r="P317" s="6"/>
      <c r="Q317" s="6"/>
      <c r="R317" s="6"/>
      <c r="S317" s="6"/>
      <c r="T317" s="6"/>
      <c r="U317" s="6"/>
      <c r="V317" s="6"/>
      <c r="W317" s="6"/>
      <c r="X317" s="6"/>
    </row>
    <row r="318" hidden="1">
      <c r="A318" s="6"/>
      <c r="B318" s="6"/>
      <c r="C318" s="6"/>
      <c r="D318" s="6"/>
      <c r="E318" s="6"/>
      <c r="F318" s="6"/>
      <c r="G318" s="6" t="str">
        <f>IFERROR(__xludf.DUMMYFUNCTION("""COMPUTED_VALUE"""),"")</f>
        <v/>
      </c>
      <c r="H318" s="6"/>
      <c r="I318" s="6"/>
      <c r="J318" s="6"/>
      <c r="K318" s="6"/>
      <c r="L318" s="6"/>
      <c r="M318" s="6"/>
      <c r="N318" s="6"/>
      <c r="O318" s="6"/>
      <c r="P318" s="6"/>
      <c r="Q318" s="6"/>
      <c r="R318" s="6"/>
      <c r="S318" s="6"/>
      <c r="T318" s="6"/>
      <c r="U318" s="6"/>
      <c r="V318" s="6"/>
      <c r="W318" s="6"/>
      <c r="X318" s="6"/>
    </row>
    <row r="319" hidden="1">
      <c r="A319" s="6"/>
      <c r="B319" s="6"/>
      <c r="C319" s="6"/>
      <c r="D319" s="6"/>
      <c r="E319" s="6"/>
      <c r="F319" s="6"/>
      <c r="G319" s="6" t="str">
        <f>IFERROR(__xludf.DUMMYFUNCTION("""COMPUTED_VALUE"""),"")</f>
        <v/>
      </c>
      <c r="H319" s="6"/>
      <c r="I319" s="6"/>
      <c r="J319" s="6"/>
      <c r="K319" s="6"/>
      <c r="L319" s="6"/>
      <c r="M319" s="6"/>
      <c r="N319" s="6"/>
      <c r="O319" s="6"/>
      <c r="P319" s="6"/>
      <c r="Q319" s="6"/>
      <c r="R319" s="6"/>
      <c r="S319" s="6"/>
      <c r="T319" s="6"/>
      <c r="U319" s="6"/>
      <c r="V319" s="6"/>
      <c r="W319" s="6"/>
      <c r="X319" s="6"/>
    </row>
    <row r="320" hidden="1">
      <c r="A320" s="6"/>
      <c r="B320" s="6"/>
      <c r="C320" s="6"/>
      <c r="D320" s="6"/>
      <c r="E320" s="6"/>
      <c r="F320" s="6"/>
      <c r="G320" s="6" t="str">
        <f>IFERROR(__xludf.DUMMYFUNCTION("""COMPUTED_VALUE"""),"")</f>
        <v/>
      </c>
      <c r="H320" s="6"/>
      <c r="I320" s="6"/>
      <c r="J320" s="6"/>
      <c r="K320" s="6"/>
      <c r="L320" s="6"/>
      <c r="M320" s="6"/>
      <c r="N320" s="6"/>
      <c r="O320" s="6"/>
      <c r="P320" s="6"/>
      <c r="Q320" s="6"/>
      <c r="R320" s="6"/>
      <c r="S320" s="6"/>
      <c r="T320" s="6"/>
      <c r="U320" s="6"/>
      <c r="V320" s="6"/>
      <c r="W320" s="6"/>
      <c r="X320" s="6"/>
    </row>
    <row r="321" hidden="1">
      <c r="A321" s="6"/>
      <c r="B321" s="6"/>
      <c r="C321" s="6"/>
      <c r="D321" s="6"/>
      <c r="E321" s="6"/>
      <c r="F321" s="6"/>
      <c r="G321" s="6" t="str">
        <f>IFERROR(__xludf.DUMMYFUNCTION("""COMPUTED_VALUE"""),"")</f>
        <v/>
      </c>
      <c r="H321" s="6"/>
      <c r="I321" s="6"/>
      <c r="J321" s="6"/>
      <c r="K321" s="6"/>
      <c r="L321" s="6"/>
      <c r="M321" s="6"/>
      <c r="N321" s="6"/>
      <c r="O321" s="6"/>
      <c r="P321" s="6"/>
      <c r="Q321" s="6"/>
      <c r="R321" s="6"/>
      <c r="S321" s="6"/>
      <c r="T321" s="6"/>
      <c r="U321" s="6"/>
      <c r="V321" s="6"/>
      <c r="W321" s="6"/>
      <c r="X321" s="6"/>
    </row>
    <row r="322" hidden="1">
      <c r="A322" s="6"/>
      <c r="B322" s="6"/>
      <c r="C322" s="6"/>
      <c r="D322" s="6"/>
      <c r="E322" s="6"/>
      <c r="F322" s="6"/>
      <c r="G322" s="6" t="str">
        <f>IFERROR(__xludf.DUMMYFUNCTION("""COMPUTED_VALUE"""),"")</f>
        <v/>
      </c>
      <c r="H322" s="6"/>
      <c r="I322" s="6"/>
      <c r="J322" s="6"/>
      <c r="K322" s="6"/>
      <c r="L322" s="6"/>
      <c r="M322" s="6"/>
      <c r="N322" s="6"/>
      <c r="O322" s="6"/>
      <c r="P322" s="6"/>
      <c r="Q322" s="6"/>
      <c r="R322" s="6"/>
      <c r="S322" s="6"/>
      <c r="T322" s="6"/>
      <c r="U322" s="6"/>
      <c r="V322" s="6"/>
      <c r="W322" s="6"/>
      <c r="X322" s="6"/>
    </row>
    <row r="323" hidden="1">
      <c r="A323" s="6"/>
      <c r="B323" s="6"/>
      <c r="C323" s="6"/>
      <c r="D323" s="6"/>
      <c r="E323" s="6"/>
      <c r="F323" s="6"/>
      <c r="G323" s="6" t="str">
        <f>IFERROR(__xludf.DUMMYFUNCTION("""COMPUTED_VALUE"""),"")</f>
        <v/>
      </c>
      <c r="H323" s="6"/>
      <c r="I323" s="6"/>
      <c r="J323" s="6"/>
      <c r="K323" s="6"/>
      <c r="L323" s="6"/>
      <c r="M323" s="6"/>
      <c r="N323" s="6"/>
      <c r="O323" s="6"/>
      <c r="P323" s="6"/>
      <c r="Q323" s="6"/>
      <c r="R323" s="6"/>
      <c r="S323" s="6"/>
      <c r="T323" s="6"/>
      <c r="U323" s="6"/>
      <c r="V323" s="6"/>
      <c r="W323" s="6"/>
      <c r="X323" s="6"/>
    </row>
    <row r="324" hidden="1">
      <c r="A324" s="6"/>
      <c r="B324" s="6"/>
      <c r="C324" s="6"/>
      <c r="D324" s="6"/>
      <c r="E324" s="6"/>
      <c r="F324" s="6"/>
      <c r="G324" s="6" t="str">
        <f>IFERROR(__xludf.DUMMYFUNCTION("""COMPUTED_VALUE"""),"")</f>
        <v/>
      </c>
      <c r="H324" s="6"/>
      <c r="I324" s="6"/>
      <c r="J324" s="6"/>
      <c r="K324" s="6"/>
      <c r="L324" s="6"/>
      <c r="M324" s="6"/>
      <c r="N324" s="6"/>
      <c r="O324" s="6"/>
      <c r="P324" s="6"/>
      <c r="Q324" s="6"/>
      <c r="R324" s="6"/>
      <c r="S324" s="6"/>
      <c r="T324" s="6"/>
      <c r="U324" s="6"/>
      <c r="V324" s="6"/>
      <c r="W324" s="6"/>
      <c r="X324" s="6"/>
    </row>
    <row r="325" hidden="1">
      <c r="A325" s="6"/>
      <c r="B325" s="6"/>
      <c r="C325" s="6"/>
      <c r="D325" s="6"/>
      <c r="E325" s="6"/>
      <c r="F325" s="6"/>
      <c r="G325" s="6" t="str">
        <f>IFERROR(__xludf.DUMMYFUNCTION("""COMPUTED_VALUE"""),"")</f>
        <v/>
      </c>
      <c r="H325" s="6"/>
      <c r="I325" s="6"/>
      <c r="J325" s="6"/>
      <c r="K325" s="6"/>
      <c r="L325" s="6"/>
      <c r="M325" s="6"/>
      <c r="N325" s="6"/>
      <c r="O325" s="6"/>
      <c r="P325" s="6"/>
      <c r="Q325" s="6"/>
      <c r="R325" s="6"/>
      <c r="S325" s="6"/>
      <c r="T325" s="6"/>
      <c r="U325" s="6"/>
      <c r="V325" s="6"/>
      <c r="W325" s="6"/>
      <c r="X325" s="6"/>
    </row>
    <row r="326" hidden="1">
      <c r="A326" s="6"/>
      <c r="B326" s="6"/>
      <c r="C326" s="6"/>
      <c r="D326" s="6"/>
      <c r="E326" s="6"/>
      <c r="F326" s="6"/>
      <c r="G326" s="6" t="str">
        <f>IFERROR(__xludf.DUMMYFUNCTION("""COMPUTED_VALUE"""),"")</f>
        <v/>
      </c>
      <c r="H326" s="6"/>
      <c r="I326" s="6"/>
      <c r="J326" s="6"/>
      <c r="K326" s="6"/>
      <c r="L326" s="6"/>
      <c r="M326" s="6"/>
      <c r="N326" s="6"/>
      <c r="O326" s="6"/>
      <c r="P326" s="6"/>
      <c r="Q326" s="6"/>
      <c r="R326" s="6"/>
      <c r="S326" s="6"/>
      <c r="T326" s="6"/>
      <c r="U326" s="6"/>
      <c r="V326" s="6"/>
      <c r="W326" s="6"/>
      <c r="X326" s="6"/>
    </row>
    <row r="327" hidden="1">
      <c r="A327" s="6"/>
      <c r="B327" s="6"/>
      <c r="C327" s="6"/>
      <c r="D327" s="6"/>
      <c r="E327" s="6"/>
      <c r="F327" s="6"/>
      <c r="G327" s="6" t="str">
        <f>IFERROR(__xludf.DUMMYFUNCTION("""COMPUTED_VALUE"""),"")</f>
        <v/>
      </c>
      <c r="H327" s="6"/>
      <c r="I327" s="6"/>
      <c r="J327" s="6"/>
      <c r="K327" s="6"/>
      <c r="L327" s="6"/>
      <c r="M327" s="6"/>
      <c r="N327" s="6"/>
      <c r="O327" s="6"/>
      <c r="P327" s="6"/>
      <c r="Q327" s="6"/>
      <c r="R327" s="6"/>
      <c r="S327" s="6"/>
      <c r="T327" s="6"/>
      <c r="U327" s="6"/>
      <c r="V327" s="6"/>
      <c r="W327" s="6"/>
      <c r="X327" s="6"/>
    </row>
    <row r="328" hidden="1">
      <c r="A328" s="6"/>
      <c r="B328" s="6"/>
      <c r="C328" s="6"/>
      <c r="D328" s="6"/>
      <c r="E328" s="6"/>
      <c r="F328" s="6"/>
      <c r="G328" s="6" t="str">
        <f>IFERROR(__xludf.DUMMYFUNCTION("""COMPUTED_VALUE"""),"")</f>
        <v/>
      </c>
      <c r="H328" s="6"/>
      <c r="I328" s="6"/>
      <c r="J328" s="6"/>
      <c r="K328" s="6"/>
      <c r="L328" s="6"/>
      <c r="M328" s="6"/>
      <c r="N328" s="6"/>
      <c r="O328" s="6"/>
      <c r="P328" s="6"/>
      <c r="Q328" s="6"/>
      <c r="R328" s="6"/>
      <c r="S328" s="6"/>
      <c r="T328" s="6"/>
      <c r="U328" s="6"/>
      <c r="V328" s="6"/>
      <c r="W328" s="6"/>
      <c r="X328" s="6"/>
    </row>
    <row r="329" hidden="1">
      <c r="A329" s="6"/>
      <c r="B329" s="6"/>
      <c r="C329" s="6"/>
      <c r="D329" s="6"/>
      <c r="E329" s="6"/>
      <c r="F329" s="6"/>
      <c r="G329" s="6" t="str">
        <f>IFERROR(__xludf.DUMMYFUNCTION("""COMPUTED_VALUE"""),"")</f>
        <v/>
      </c>
      <c r="H329" s="6"/>
      <c r="I329" s="6"/>
      <c r="J329" s="6"/>
      <c r="K329" s="6"/>
      <c r="L329" s="6"/>
      <c r="M329" s="6"/>
      <c r="N329" s="6"/>
      <c r="O329" s="6"/>
      <c r="P329" s="6"/>
      <c r="Q329" s="6"/>
      <c r="R329" s="6"/>
      <c r="S329" s="6"/>
      <c r="T329" s="6"/>
      <c r="U329" s="6"/>
      <c r="V329" s="6"/>
      <c r="W329" s="6"/>
      <c r="X329" s="6"/>
    </row>
    <row r="330" hidden="1">
      <c r="A330" s="6"/>
      <c r="B330" s="6"/>
      <c r="C330" s="6"/>
      <c r="D330" s="6"/>
      <c r="E330" s="6"/>
      <c r="F330" s="6"/>
      <c r="G330" s="6" t="str">
        <f>IFERROR(__xludf.DUMMYFUNCTION("""COMPUTED_VALUE"""),"")</f>
        <v/>
      </c>
      <c r="H330" s="6"/>
      <c r="I330" s="6"/>
      <c r="J330" s="6"/>
      <c r="K330" s="6"/>
      <c r="L330" s="6"/>
      <c r="M330" s="6"/>
      <c r="N330" s="6"/>
      <c r="O330" s="6"/>
      <c r="P330" s="6"/>
      <c r="Q330" s="6"/>
      <c r="R330" s="6"/>
      <c r="S330" s="6"/>
      <c r="T330" s="6"/>
      <c r="U330" s="6"/>
      <c r="V330" s="6"/>
      <c r="W330" s="6"/>
      <c r="X330" s="6"/>
    </row>
    <row r="331" hidden="1">
      <c r="A331" s="6"/>
      <c r="B331" s="6"/>
      <c r="C331" s="6"/>
      <c r="D331" s="6"/>
      <c r="E331" s="6"/>
      <c r="F331" s="6"/>
      <c r="G331" s="6" t="str">
        <f>IFERROR(__xludf.DUMMYFUNCTION("""COMPUTED_VALUE"""),"")</f>
        <v/>
      </c>
      <c r="H331" s="6"/>
      <c r="I331" s="6"/>
      <c r="J331" s="6"/>
      <c r="K331" s="6"/>
      <c r="L331" s="6"/>
      <c r="M331" s="6"/>
      <c r="N331" s="6"/>
      <c r="O331" s="6"/>
      <c r="P331" s="6"/>
      <c r="Q331" s="6"/>
      <c r="R331" s="6"/>
      <c r="S331" s="6"/>
      <c r="T331" s="6"/>
      <c r="U331" s="6"/>
      <c r="V331" s="6"/>
      <c r="W331" s="6"/>
      <c r="X331" s="6"/>
    </row>
    <row r="332" hidden="1">
      <c r="A332" s="6"/>
      <c r="B332" s="6"/>
      <c r="C332" s="6"/>
      <c r="D332" s="6"/>
      <c r="E332" s="6"/>
      <c r="F332" s="6"/>
      <c r="G332" s="6" t="str">
        <f>IFERROR(__xludf.DUMMYFUNCTION("""COMPUTED_VALUE"""),"")</f>
        <v/>
      </c>
      <c r="H332" s="6"/>
      <c r="I332" s="6"/>
      <c r="J332" s="6"/>
      <c r="K332" s="6"/>
      <c r="L332" s="6"/>
      <c r="M332" s="6"/>
      <c r="N332" s="6"/>
      <c r="O332" s="6"/>
      <c r="P332" s="6"/>
      <c r="Q332" s="6"/>
      <c r="R332" s="6"/>
      <c r="S332" s="6"/>
      <c r="T332" s="6"/>
      <c r="U332" s="6"/>
      <c r="V332" s="6"/>
      <c r="W332" s="6"/>
      <c r="X332" s="6"/>
    </row>
    <row r="333" hidden="1">
      <c r="A333" s="6"/>
      <c r="B333" s="6"/>
      <c r="C333" s="6"/>
      <c r="D333" s="6"/>
      <c r="E333" s="6"/>
      <c r="F333" s="6"/>
      <c r="G333" s="6" t="str">
        <f>IFERROR(__xludf.DUMMYFUNCTION("""COMPUTED_VALUE"""),"")</f>
        <v/>
      </c>
      <c r="H333" s="6"/>
      <c r="I333" s="6"/>
      <c r="J333" s="6"/>
      <c r="K333" s="6"/>
      <c r="L333" s="6"/>
      <c r="M333" s="6"/>
      <c r="N333" s="6"/>
      <c r="O333" s="6"/>
      <c r="P333" s="6"/>
      <c r="Q333" s="6"/>
      <c r="R333" s="6"/>
      <c r="S333" s="6"/>
      <c r="T333" s="6"/>
      <c r="U333" s="6"/>
      <c r="V333" s="6"/>
      <c r="W333" s="6"/>
      <c r="X333" s="6"/>
    </row>
    <row r="334" hidden="1">
      <c r="A334" s="6"/>
      <c r="B334" s="6"/>
      <c r="C334" s="6"/>
      <c r="D334" s="6"/>
      <c r="E334" s="6"/>
      <c r="F334" s="6"/>
      <c r="G334" s="6" t="str">
        <f>IFERROR(__xludf.DUMMYFUNCTION("""COMPUTED_VALUE"""),"")</f>
        <v/>
      </c>
      <c r="H334" s="6"/>
      <c r="I334" s="6"/>
      <c r="J334" s="6"/>
      <c r="K334" s="6"/>
      <c r="L334" s="6"/>
      <c r="M334" s="6"/>
      <c r="N334" s="6"/>
      <c r="O334" s="6"/>
      <c r="P334" s="6"/>
      <c r="Q334" s="6"/>
      <c r="R334" s="6"/>
      <c r="S334" s="6"/>
      <c r="T334" s="6"/>
      <c r="U334" s="6"/>
      <c r="V334" s="6"/>
      <c r="W334" s="6"/>
      <c r="X334" s="6"/>
    </row>
    <row r="335" hidden="1">
      <c r="A335" s="6"/>
      <c r="B335" s="6"/>
      <c r="C335" s="6"/>
      <c r="D335" s="6"/>
      <c r="E335" s="6"/>
      <c r="F335" s="6"/>
      <c r="G335" s="6" t="str">
        <f>IFERROR(__xludf.DUMMYFUNCTION("""COMPUTED_VALUE"""),"")</f>
        <v/>
      </c>
      <c r="H335" s="6"/>
      <c r="I335" s="6"/>
      <c r="J335" s="6"/>
      <c r="K335" s="6"/>
      <c r="L335" s="6"/>
      <c r="M335" s="6"/>
      <c r="N335" s="6"/>
      <c r="O335" s="6"/>
      <c r="P335" s="6"/>
      <c r="Q335" s="6"/>
      <c r="R335" s="6"/>
      <c r="S335" s="6"/>
      <c r="T335" s="6"/>
      <c r="U335" s="6"/>
      <c r="V335" s="6"/>
      <c r="W335" s="6"/>
      <c r="X335" s="6"/>
    </row>
    <row r="336" hidden="1">
      <c r="A336" s="6"/>
      <c r="B336" s="6"/>
      <c r="C336" s="6"/>
      <c r="D336" s="6"/>
      <c r="E336" s="6"/>
      <c r="F336" s="6"/>
      <c r="G336" s="6" t="str">
        <f>IFERROR(__xludf.DUMMYFUNCTION("""COMPUTED_VALUE"""),"")</f>
        <v/>
      </c>
      <c r="H336" s="6"/>
      <c r="I336" s="6"/>
      <c r="J336" s="6"/>
      <c r="K336" s="6"/>
      <c r="L336" s="6"/>
      <c r="M336" s="6"/>
      <c r="N336" s="6"/>
      <c r="O336" s="6"/>
      <c r="P336" s="6"/>
      <c r="Q336" s="6"/>
      <c r="R336" s="6"/>
      <c r="S336" s="6"/>
      <c r="T336" s="6"/>
      <c r="U336" s="6"/>
      <c r="V336" s="6"/>
      <c r="W336" s="6"/>
      <c r="X336" s="6"/>
    </row>
    <row r="337" hidden="1">
      <c r="A337" s="6"/>
      <c r="B337" s="6"/>
      <c r="C337" s="6"/>
      <c r="D337" s="6"/>
      <c r="E337" s="6"/>
      <c r="F337" s="6"/>
      <c r="G337" s="6" t="str">
        <f>IFERROR(__xludf.DUMMYFUNCTION("""COMPUTED_VALUE"""),"")</f>
        <v/>
      </c>
      <c r="H337" s="6"/>
      <c r="I337" s="6"/>
      <c r="J337" s="6"/>
      <c r="K337" s="6"/>
      <c r="L337" s="6"/>
      <c r="M337" s="6"/>
      <c r="N337" s="6"/>
      <c r="O337" s="6"/>
      <c r="P337" s="6"/>
      <c r="Q337" s="6"/>
      <c r="R337" s="6"/>
      <c r="S337" s="6"/>
      <c r="T337" s="6"/>
      <c r="U337" s="6"/>
      <c r="V337" s="6"/>
      <c r="W337" s="6"/>
      <c r="X337" s="6"/>
    </row>
    <row r="338" hidden="1">
      <c r="A338" s="6"/>
      <c r="B338" s="6"/>
      <c r="C338" s="6"/>
      <c r="D338" s="6"/>
      <c r="E338" s="6"/>
      <c r="F338" s="6"/>
      <c r="G338" s="6" t="str">
        <f>IFERROR(__xludf.DUMMYFUNCTION("""COMPUTED_VALUE"""),"")</f>
        <v/>
      </c>
      <c r="H338" s="6"/>
      <c r="I338" s="6"/>
      <c r="J338" s="6"/>
      <c r="K338" s="6"/>
      <c r="L338" s="6"/>
      <c r="M338" s="6"/>
      <c r="N338" s="6"/>
      <c r="O338" s="6"/>
      <c r="P338" s="6"/>
      <c r="Q338" s="6"/>
      <c r="R338" s="6"/>
      <c r="S338" s="6"/>
      <c r="T338" s="6"/>
      <c r="U338" s="6"/>
      <c r="V338" s="6"/>
      <c r="W338" s="6"/>
      <c r="X338" s="6"/>
    </row>
    <row r="339" hidden="1">
      <c r="A339" s="6"/>
      <c r="B339" s="6"/>
      <c r="C339" s="6"/>
      <c r="D339" s="6"/>
      <c r="E339" s="6"/>
      <c r="F339" s="6"/>
      <c r="G339" s="6" t="str">
        <f>IFERROR(__xludf.DUMMYFUNCTION("""COMPUTED_VALUE"""),"")</f>
        <v/>
      </c>
      <c r="H339" s="6"/>
      <c r="I339" s="6"/>
      <c r="J339" s="6"/>
      <c r="K339" s="6"/>
      <c r="L339" s="6"/>
      <c r="M339" s="6"/>
      <c r="N339" s="6"/>
      <c r="O339" s="6"/>
      <c r="P339" s="6"/>
      <c r="Q339" s="6"/>
      <c r="R339" s="6"/>
      <c r="S339" s="6"/>
      <c r="T339" s="6"/>
      <c r="U339" s="6"/>
      <c r="V339" s="6"/>
      <c r="W339" s="6"/>
      <c r="X339" s="6"/>
    </row>
    <row r="340" hidden="1">
      <c r="A340" s="6"/>
      <c r="B340" s="6"/>
      <c r="C340" s="6"/>
      <c r="D340" s="6"/>
      <c r="E340" s="6"/>
      <c r="F340" s="6"/>
      <c r="G340" s="6" t="str">
        <f>IFERROR(__xludf.DUMMYFUNCTION("""COMPUTED_VALUE"""),"")</f>
        <v/>
      </c>
      <c r="H340" s="6"/>
      <c r="I340" s="6"/>
      <c r="J340" s="6"/>
      <c r="K340" s="6"/>
      <c r="L340" s="6"/>
      <c r="M340" s="6"/>
      <c r="N340" s="6"/>
      <c r="O340" s="6"/>
      <c r="P340" s="6"/>
      <c r="Q340" s="6"/>
      <c r="R340" s="6"/>
      <c r="S340" s="6"/>
      <c r="T340" s="6"/>
      <c r="U340" s="6"/>
      <c r="V340" s="6"/>
      <c r="W340" s="6"/>
      <c r="X340" s="6"/>
    </row>
    <row r="341" hidden="1">
      <c r="A341" s="6"/>
      <c r="B341" s="6"/>
      <c r="C341" s="6"/>
      <c r="D341" s="6"/>
      <c r="E341" s="6"/>
      <c r="F341" s="6"/>
      <c r="G341" s="6" t="str">
        <f>IFERROR(__xludf.DUMMYFUNCTION("""COMPUTED_VALUE"""),"")</f>
        <v/>
      </c>
      <c r="H341" s="6"/>
      <c r="I341" s="6"/>
      <c r="J341" s="6"/>
      <c r="K341" s="6"/>
      <c r="L341" s="6"/>
      <c r="M341" s="6"/>
      <c r="N341" s="6"/>
      <c r="O341" s="6"/>
      <c r="P341" s="6"/>
      <c r="Q341" s="6"/>
      <c r="R341" s="6"/>
      <c r="S341" s="6"/>
      <c r="T341" s="6"/>
      <c r="U341" s="6"/>
      <c r="V341" s="6"/>
      <c r="W341" s="6"/>
      <c r="X341" s="6"/>
    </row>
    <row r="342" hidden="1">
      <c r="A342" s="6"/>
      <c r="B342" s="6"/>
      <c r="C342" s="6"/>
      <c r="D342" s="6"/>
      <c r="E342" s="6"/>
      <c r="F342" s="6"/>
      <c r="G342" s="6" t="str">
        <f>IFERROR(__xludf.DUMMYFUNCTION("""COMPUTED_VALUE"""),"")</f>
        <v/>
      </c>
      <c r="H342" s="6"/>
      <c r="I342" s="6"/>
      <c r="J342" s="6"/>
      <c r="K342" s="6"/>
      <c r="L342" s="6"/>
      <c r="M342" s="6"/>
      <c r="N342" s="6"/>
      <c r="O342" s="6"/>
      <c r="P342" s="6"/>
      <c r="Q342" s="6"/>
      <c r="R342" s="6"/>
      <c r="S342" s="6"/>
      <c r="T342" s="6"/>
      <c r="U342" s="6"/>
      <c r="V342" s="6"/>
      <c r="W342" s="6"/>
      <c r="X342" s="6"/>
    </row>
    <row r="343" hidden="1">
      <c r="A343" s="6"/>
      <c r="B343" s="6"/>
      <c r="C343" s="6"/>
      <c r="D343" s="6"/>
      <c r="E343" s="6"/>
      <c r="F343" s="6"/>
      <c r="G343" s="6" t="str">
        <f>IFERROR(__xludf.DUMMYFUNCTION("""COMPUTED_VALUE"""),"")</f>
        <v/>
      </c>
      <c r="H343" s="6"/>
      <c r="I343" s="6"/>
      <c r="J343" s="6"/>
      <c r="K343" s="6"/>
      <c r="L343" s="6"/>
      <c r="M343" s="6"/>
      <c r="N343" s="6"/>
      <c r="O343" s="6"/>
      <c r="P343" s="6"/>
      <c r="Q343" s="6"/>
      <c r="R343" s="6"/>
      <c r="S343" s="6"/>
      <c r="T343" s="6"/>
      <c r="U343" s="6"/>
      <c r="V343" s="6"/>
      <c r="W343" s="6"/>
      <c r="X343" s="6"/>
    </row>
    <row r="344" hidden="1">
      <c r="A344" s="6"/>
      <c r="B344" s="6"/>
      <c r="C344" s="6"/>
      <c r="D344" s="6"/>
      <c r="E344" s="6"/>
      <c r="F344" s="6"/>
      <c r="G344" s="6" t="str">
        <f>IFERROR(__xludf.DUMMYFUNCTION("""COMPUTED_VALUE"""),"")</f>
        <v/>
      </c>
      <c r="H344" s="6"/>
      <c r="I344" s="6"/>
      <c r="J344" s="6"/>
      <c r="K344" s="6"/>
      <c r="L344" s="6"/>
      <c r="M344" s="6"/>
      <c r="N344" s="6"/>
      <c r="O344" s="6"/>
      <c r="P344" s="6"/>
      <c r="Q344" s="6"/>
      <c r="R344" s="6"/>
      <c r="S344" s="6"/>
      <c r="T344" s="6"/>
      <c r="U344" s="6"/>
      <c r="V344" s="6"/>
      <c r="W344" s="6"/>
      <c r="X344" s="6"/>
    </row>
    <row r="345" hidden="1">
      <c r="A345" s="6"/>
      <c r="B345" s="6"/>
      <c r="C345" s="6"/>
      <c r="D345" s="6"/>
      <c r="E345" s="6"/>
      <c r="F345" s="6"/>
      <c r="G345" s="6" t="str">
        <f>IFERROR(__xludf.DUMMYFUNCTION("""COMPUTED_VALUE"""),"")</f>
        <v/>
      </c>
      <c r="H345" s="6"/>
      <c r="I345" s="6"/>
      <c r="J345" s="6"/>
      <c r="K345" s="6"/>
      <c r="L345" s="6"/>
      <c r="M345" s="6"/>
      <c r="N345" s="6"/>
      <c r="O345" s="6"/>
      <c r="P345" s="6"/>
      <c r="Q345" s="6"/>
      <c r="R345" s="6"/>
      <c r="S345" s="6"/>
      <c r="T345" s="6"/>
      <c r="U345" s="6"/>
      <c r="V345" s="6"/>
      <c r="W345" s="6"/>
      <c r="X345" s="6"/>
    </row>
    <row r="346" hidden="1">
      <c r="A346" s="6"/>
      <c r="B346" s="6"/>
      <c r="C346" s="6"/>
      <c r="D346" s="6"/>
      <c r="E346" s="6"/>
      <c r="F346" s="6"/>
      <c r="G346" s="6" t="str">
        <f>IFERROR(__xludf.DUMMYFUNCTION("""COMPUTED_VALUE"""),"")</f>
        <v/>
      </c>
      <c r="H346" s="6"/>
      <c r="I346" s="6"/>
      <c r="J346" s="6"/>
      <c r="K346" s="6"/>
      <c r="L346" s="6"/>
      <c r="M346" s="6"/>
      <c r="N346" s="6"/>
      <c r="O346" s="6"/>
      <c r="P346" s="6"/>
      <c r="Q346" s="6"/>
      <c r="R346" s="6"/>
      <c r="S346" s="6"/>
      <c r="T346" s="6"/>
      <c r="U346" s="6"/>
      <c r="V346" s="6"/>
      <c r="W346" s="6"/>
      <c r="X346" s="6"/>
    </row>
    <row r="347" hidden="1">
      <c r="A347" s="6"/>
      <c r="B347" s="6"/>
      <c r="C347" s="6"/>
      <c r="D347" s="6"/>
      <c r="E347" s="6"/>
      <c r="F347" s="6"/>
      <c r="G347" s="6" t="str">
        <f>IFERROR(__xludf.DUMMYFUNCTION("""COMPUTED_VALUE"""),"")</f>
        <v/>
      </c>
      <c r="H347" s="6"/>
      <c r="I347" s="6"/>
      <c r="J347" s="6"/>
      <c r="K347" s="6"/>
      <c r="L347" s="6"/>
      <c r="M347" s="6"/>
      <c r="N347" s="6"/>
      <c r="O347" s="6"/>
      <c r="P347" s="6"/>
      <c r="Q347" s="6"/>
      <c r="R347" s="6"/>
      <c r="S347" s="6"/>
      <c r="T347" s="6"/>
      <c r="U347" s="6"/>
      <c r="V347" s="6"/>
      <c r="W347" s="6"/>
      <c r="X347" s="6"/>
    </row>
    <row r="348" hidden="1">
      <c r="A348" s="6"/>
      <c r="B348" s="6"/>
      <c r="C348" s="6"/>
      <c r="D348" s="6"/>
      <c r="E348" s="6"/>
      <c r="F348" s="6"/>
      <c r="G348" s="6" t="str">
        <f>IFERROR(__xludf.DUMMYFUNCTION("""COMPUTED_VALUE"""),"")</f>
        <v/>
      </c>
      <c r="H348" s="6"/>
      <c r="I348" s="6"/>
      <c r="J348" s="6"/>
      <c r="K348" s="6"/>
      <c r="L348" s="6"/>
      <c r="M348" s="6"/>
      <c r="N348" s="6"/>
      <c r="O348" s="6"/>
      <c r="P348" s="6"/>
      <c r="Q348" s="6"/>
      <c r="R348" s="6"/>
      <c r="S348" s="6"/>
      <c r="T348" s="6"/>
      <c r="U348" s="6"/>
      <c r="V348" s="6"/>
      <c r="W348" s="6"/>
      <c r="X348" s="6"/>
    </row>
    <row r="349" hidden="1">
      <c r="A349" s="6"/>
      <c r="B349" s="6"/>
      <c r="C349" s="6"/>
      <c r="D349" s="6"/>
      <c r="E349" s="6"/>
      <c r="F349" s="6"/>
      <c r="G349" s="6" t="str">
        <f>IFERROR(__xludf.DUMMYFUNCTION("""COMPUTED_VALUE"""),"")</f>
        <v/>
      </c>
      <c r="H349" s="6"/>
      <c r="I349" s="6"/>
      <c r="J349" s="6"/>
      <c r="K349" s="6"/>
      <c r="L349" s="6"/>
      <c r="M349" s="6"/>
      <c r="N349" s="6"/>
      <c r="O349" s="6"/>
      <c r="P349" s="6"/>
      <c r="Q349" s="6"/>
      <c r="R349" s="6"/>
      <c r="S349" s="6"/>
      <c r="T349" s="6"/>
      <c r="U349" s="6"/>
      <c r="V349" s="6"/>
      <c r="W349" s="6"/>
      <c r="X349" s="6"/>
    </row>
    <row r="350" hidden="1">
      <c r="A350" s="6"/>
      <c r="B350" s="6"/>
      <c r="C350" s="6"/>
      <c r="D350" s="6"/>
      <c r="E350" s="6"/>
      <c r="F350" s="6"/>
      <c r="G350" s="6" t="str">
        <f>IFERROR(__xludf.DUMMYFUNCTION("""COMPUTED_VALUE"""),"")</f>
        <v/>
      </c>
      <c r="H350" s="6"/>
      <c r="I350" s="6"/>
      <c r="J350" s="6"/>
      <c r="K350" s="6"/>
      <c r="L350" s="6"/>
      <c r="M350" s="6"/>
      <c r="N350" s="6"/>
      <c r="O350" s="6"/>
      <c r="P350" s="6"/>
      <c r="Q350" s="6"/>
      <c r="R350" s="6"/>
      <c r="S350" s="6"/>
      <c r="T350" s="6"/>
      <c r="U350" s="6"/>
      <c r="V350" s="6"/>
      <c r="W350" s="6"/>
      <c r="X350" s="6"/>
    </row>
    <row r="351" hidden="1">
      <c r="A351" s="6"/>
      <c r="B351" s="6"/>
      <c r="C351" s="6"/>
      <c r="D351" s="6"/>
      <c r="E351" s="6"/>
      <c r="F351" s="6"/>
      <c r="G351" s="6" t="str">
        <f>IFERROR(__xludf.DUMMYFUNCTION("""COMPUTED_VALUE"""),"")</f>
        <v/>
      </c>
      <c r="H351" s="6"/>
      <c r="I351" s="6"/>
      <c r="J351" s="6"/>
      <c r="K351" s="6"/>
      <c r="L351" s="6"/>
      <c r="M351" s="6"/>
      <c r="N351" s="6"/>
      <c r="O351" s="6"/>
      <c r="P351" s="6"/>
      <c r="Q351" s="6"/>
      <c r="R351" s="6"/>
      <c r="S351" s="6"/>
      <c r="T351" s="6"/>
      <c r="U351" s="6"/>
      <c r="V351" s="6"/>
      <c r="W351" s="6"/>
      <c r="X351" s="6"/>
    </row>
    <row r="352" hidden="1">
      <c r="A352" s="6"/>
      <c r="B352" s="6"/>
      <c r="C352" s="6"/>
      <c r="D352" s="6"/>
      <c r="E352" s="6"/>
      <c r="F352" s="6"/>
      <c r="G352" s="6" t="str">
        <f>IFERROR(__xludf.DUMMYFUNCTION("""COMPUTED_VALUE"""),"")</f>
        <v/>
      </c>
      <c r="H352" s="6"/>
      <c r="I352" s="6"/>
      <c r="J352" s="6"/>
      <c r="K352" s="6"/>
      <c r="L352" s="6"/>
      <c r="M352" s="6"/>
      <c r="N352" s="6"/>
      <c r="O352" s="6"/>
      <c r="P352" s="6"/>
      <c r="Q352" s="6"/>
      <c r="R352" s="6"/>
      <c r="S352" s="6"/>
      <c r="T352" s="6"/>
      <c r="U352" s="6"/>
      <c r="V352" s="6"/>
      <c r="W352" s="6"/>
      <c r="X352" s="6"/>
    </row>
    <row r="353" hidden="1">
      <c r="A353" s="6"/>
      <c r="B353" s="6"/>
      <c r="C353" s="6"/>
      <c r="D353" s="6"/>
      <c r="E353" s="6"/>
      <c r="F353" s="6"/>
      <c r="G353" s="6" t="str">
        <f>IFERROR(__xludf.DUMMYFUNCTION("""COMPUTED_VALUE"""),"")</f>
        <v/>
      </c>
      <c r="H353" s="6"/>
      <c r="I353" s="6"/>
      <c r="J353" s="6"/>
      <c r="K353" s="6"/>
      <c r="L353" s="6"/>
      <c r="M353" s="6"/>
      <c r="N353" s="6"/>
      <c r="O353" s="6"/>
      <c r="P353" s="6"/>
      <c r="Q353" s="6"/>
      <c r="R353" s="6"/>
      <c r="S353" s="6"/>
      <c r="T353" s="6"/>
      <c r="U353" s="6"/>
      <c r="V353" s="6"/>
      <c r="W353" s="6"/>
      <c r="X353" s="6"/>
    </row>
    <row r="354" hidden="1">
      <c r="A354" s="6"/>
      <c r="B354" s="6"/>
      <c r="C354" s="6"/>
      <c r="D354" s="6"/>
      <c r="E354" s="6"/>
      <c r="F354" s="6"/>
      <c r="G354" s="6" t="str">
        <f>IFERROR(__xludf.DUMMYFUNCTION("""COMPUTED_VALUE"""),"")</f>
        <v/>
      </c>
      <c r="H354" s="6"/>
      <c r="I354" s="6"/>
      <c r="J354" s="6"/>
      <c r="K354" s="6"/>
      <c r="L354" s="6"/>
      <c r="M354" s="6"/>
      <c r="N354" s="6"/>
      <c r="O354" s="6"/>
      <c r="P354" s="6"/>
      <c r="Q354" s="6"/>
      <c r="R354" s="6"/>
      <c r="S354" s="6"/>
      <c r="T354" s="6"/>
      <c r="U354" s="6"/>
      <c r="V354" s="6"/>
      <c r="W354" s="6"/>
      <c r="X354" s="6"/>
    </row>
    <row r="355" hidden="1">
      <c r="A355" s="6"/>
      <c r="B355" s="6"/>
      <c r="C355" s="6"/>
      <c r="D355" s="6"/>
      <c r="E355" s="6"/>
      <c r="F355" s="6"/>
      <c r="G355" s="6" t="str">
        <f>IFERROR(__xludf.DUMMYFUNCTION("""COMPUTED_VALUE"""),"")</f>
        <v/>
      </c>
      <c r="H355" s="6"/>
      <c r="I355" s="6"/>
      <c r="J355" s="6"/>
      <c r="K355" s="6"/>
      <c r="L355" s="6"/>
      <c r="M355" s="6"/>
      <c r="N355" s="6"/>
      <c r="O355" s="6"/>
      <c r="P355" s="6"/>
      <c r="Q355" s="6"/>
      <c r="R355" s="6"/>
      <c r="S355" s="6"/>
      <c r="T355" s="6"/>
      <c r="U355" s="6"/>
      <c r="V355" s="6"/>
      <c r="W355" s="6"/>
      <c r="X355" s="6"/>
    </row>
    <row r="356" hidden="1">
      <c r="A356" s="6"/>
      <c r="B356" s="6"/>
      <c r="C356" s="6"/>
      <c r="D356" s="6"/>
      <c r="E356" s="6"/>
      <c r="F356" s="6"/>
      <c r="G356" s="6" t="str">
        <f>IFERROR(__xludf.DUMMYFUNCTION("""COMPUTED_VALUE"""),"")</f>
        <v/>
      </c>
      <c r="H356" s="6"/>
      <c r="I356" s="6"/>
      <c r="J356" s="6"/>
      <c r="K356" s="6"/>
      <c r="L356" s="6"/>
      <c r="M356" s="6"/>
      <c r="N356" s="6"/>
      <c r="O356" s="6"/>
      <c r="P356" s="6"/>
      <c r="Q356" s="6"/>
      <c r="R356" s="6"/>
      <c r="S356" s="6"/>
      <c r="T356" s="6"/>
      <c r="U356" s="6"/>
      <c r="V356" s="6"/>
      <c r="W356" s="6"/>
      <c r="X356" s="6"/>
    </row>
    <row r="357" hidden="1">
      <c r="A357" s="6"/>
      <c r="B357" s="6"/>
      <c r="C357" s="6"/>
      <c r="D357" s="6"/>
      <c r="E357" s="6"/>
      <c r="F357" s="6"/>
      <c r="G357" s="6" t="str">
        <f>IFERROR(__xludf.DUMMYFUNCTION("""COMPUTED_VALUE"""),"")</f>
        <v/>
      </c>
      <c r="H357" s="6"/>
      <c r="I357" s="6"/>
      <c r="J357" s="6"/>
      <c r="K357" s="6"/>
      <c r="L357" s="6"/>
      <c r="M357" s="6"/>
      <c r="N357" s="6"/>
      <c r="O357" s="6"/>
      <c r="P357" s="6"/>
      <c r="Q357" s="6"/>
      <c r="R357" s="6"/>
      <c r="S357" s="6"/>
      <c r="T357" s="6"/>
      <c r="U357" s="6"/>
      <c r="V357" s="6"/>
      <c r="W357" s="6"/>
      <c r="X357" s="6"/>
    </row>
    <row r="358" hidden="1">
      <c r="A358" s="6"/>
      <c r="B358" s="6"/>
      <c r="C358" s="6"/>
      <c r="D358" s="6"/>
      <c r="E358" s="6"/>
      <c r="F358" s="6"/>
      <c r="G358" s="6" t="str">
        <f>IFERROR(__xludf.DUMMYFUNCTION("""COMPUTED_VALUE"""),"")</f>
        <v/>
      </c>
      <c r="H358" s="6"/>
      <c r="I358" s="6"/>
      <c r="J358" s="6"/>
      <c r="K358" s="6"/>
      <c r="L358" s="6"/>
      <c r="M358" s="6"/>
      <c r="N358" s="6"/>
      <c r="O358" s="6"/>
      <c r="P358" s="6"/>
      <c r="Q358" s="6"/>
      <c r="R358" s="6"/>
      <c r="S358" s="6"/>
      <c r="T358" s="6"/>
      <c r="U358" s="6"/>
      <c r="V358" s="6"/>
      <c r="W358" s="6"/>
      <c r="X358" s="6"/>
    </row>
    <row r="359" hidden="1">
      <c r="A359" s="6"/>
      <c r="B359" s="6"/>
      <c r="C359" s="6"/>
      <c r="D359" s="6"/>
      <c r="E359" s="6"/>
      <c r="F359" s="6"/>
      <c r="G359" s="6" t="str">
        <f>IFERROR(__xludf.DUMMYFUNCTION("""COMPUTED_VALUE"""),"")</f>
        <v/>
      </c>
      <c r="H359" s="6"/>
      <c r="I359" s="6"/>
      <c r="J359" s="6"/>
      <c r="K359" s="6"/>
      <c r="L359" s="6"/>
      <c r="M359" s="6"/>
      <c r="N359" s="6"/>
      <c r="O359" s="6"/>
      <c r="P359" s="6"/>
      <c r="Q359" s="6"/>
      <c r="R359" s="6"/>
      <c r="S359" s="6"/>
      <c r="T359" s="6"/>
      <c r="U359" s="6"/>
      <c r="V359" s="6"/>
      <c r="W359" s="6"/>
      <c r="X359" s="6"/>
    </row>
    <row r="360" hidden="1">
      <c r="A360" s="6"/>
      <c r="B360" s="6"/>
      <c r="C360" s="6"/>
      <c r="D360" s="6"/>
      <c r="E360" s="6"/>
      <c r="F360" s="6"/>
      <c r="G360" s="6" t="str">
        <f>IFERROR(__xludf.DUMMYFUNCTION("""COMPUTED_VALUE"""),"")</f>
        <v/>
      </c>
      <c r="H360" s="6"/>
      <c r="I360" s="6"/>
      <c r="J360" s="6"/>
      <c r="K360" s="6"/>
      <c r="L360" s="6"/>
      <c r="M360" s="6"/>
      <c r="N360" s="6"/>
      <c r="O360" s="6"/>
      <c r="P360" s="6"/>
      <c r="Q360" s="6"/>
      <c r="R360" s="6"/>
      <c r="S360" s="6"/>
      <c r="T360" s="6"/>
      <c r="U360" s="6"/>
      <c r="V360" s="6"/>
      <c r="W360" s="6"/>
      <c r="X360" s="6"/>
    </row>
    <row r="361" hidden="1">
      <c r="A361" s="6"/>
      <c r="B361" s="6"/>
      <c r="C361" s="6"/>
      <c r="D361" s="6"/>
      <c r="E361" s="6"/>
      <c r="F361" s="6"/>
      <c r="G361" s="6" t="str">
        <f>IFERROR(__xludf.DUMMYFUNCTION("""COMPUTED_VALUE"""),"")</f>
        <v/>
      </c>
      <c r="H361" s="6"/>
      <c r="I361" s="6"/>
      <c r="J361" s="6"/>
      <c r="K361" s="6"/>
      <c r="L361" s="6"/>
      <c r="M361" s="6"/>
      <c r="N361" s="6"/>
      <c r="O361" s="6"/>
      <c r="P361" s="6"/>
      <c r="Q361" s="6"/>
      <c r="R361" s="6"/>
      <c r="S361" s="6"/>
      <c r="T361" s="6"/>
      <c r="U361" s="6"/>
      <c r="V361" s="6"/>
      <c r="W361" s="6"/>
      <c r="X361" s="6"/>
    </row>
    <row r="362" hidden="1">
      <c r="A362" s="6"/>
      <c r="B362" s="6"/>
      <c r="C362" s="6"/>
      <c r="D362" s="6"/>
      <c r="E362" s="6"/>
      <c r="F362" s="6"/>
      <c r="G362" s="6" t="str">
        <f>IFERROR(__xludf.DUMMYFUNCTION("""COMPUTED_VALUE"""),"")</f>
        <v/>
      </c>
      <c r="H362" s="6"/>
      <c r="I362" s="6"/>
      <c r="J362" s="6"/>
      <c r="K362" s="6"/>
      <c r="L362" s="6"/>
      <c r="M362" s="6"/>
      <c r="N362" s="6"/>
      <c r="O362" s="6"/>
      <c r="P362" s="6"/>
      <c r="Q362" s="6"/>
      <c r="R362" s="6"/>
      <c r="S362" s="6"/>
      <c r="T362" s="6"/>
      <c r="U362" s="6"/>
      <c r="V362" s="6"/>
      <c r="W362" s="6"/>
      <c r="X362" s="6"/>
    </row>
    <row r="363" hidden="1">
      <c r="A363" s="6"/>
      <c r="B363" s="6"/>
      <c r="C363" s="6"/>
      <c r="D363" s="6"/>
      <c r="E363" s="6"/>
      <c r="F363" s="6"/>
      <c r="G363" s="6" t="str">
        <f>IFERROR(__xludf.DUMMYFUNCTION("""COMPUTED_VALUE"""),"")</f>
        <v/>
      </c>
      <c r="H363" s="6"/>
      <c r="I363" s="6"/>
      <c r="J363" s="6"/>
      <c r="K363" s="6"/>
      <c r="L363" s="6"/>
      <c r="M363" s="6"/>
      <c r="N363" s="6"/>
      <c r="O363" s="6"/>
      <c r="P363" s="6"/>
      <c r="Q363" s="6"/>
      <c r="R363" s="6"/>
      <c r="S363" s="6"/>
      <c r="T363" s="6"/>
      <c r="U363" s="6"/>
      <c r="V363" s="6"/>
      <c r="W363" s="6"/>
      <c r="X363" s="6"/>
    </row>
    <row r="364" hidden="1">
      <c r="A364" s="6"/>
      <c r="B364" s="6"/>
      <c r="C364" s="6"/>
      <c r="D364" s="6"/>
      <c r="E364" s="6"/>
      <c r="F364" s="6"/>
      <c r="G364" s="6" t="str">
        <f>IFERROR(__xludf.DUMMYFUNCTION("""COMPUTED_VALUE"""),"")</f>
        <v/>
      </c>
      <c r="H364" s="6"/>
      <c r="I364" s="6"/>
      <c r="J364" s="6"/>
      <c r="K364" s="6"/>
      <c r="L364" s="6"/>
      <c r="M364" s="6"/>
      <c r="N364" s="6"/>
      <c r="O364" s="6"/>
      <c r="P364" s="6"/>
      <c r="Q364" s="6"/>
      <c r="R364" s="6"/>
      <c r="S364" s="6"/>
      <c r="T364" s="6"/>
      <c r="U364" s="6"/>
      <c r="V364" s="6"/>
      <c r="W364" s="6"/>
      <c r="X364" s="6"/>
    </row>
    <row r="365" hidden="1">
      <c r="A365" s="6"/>
      <c r="B365" s="6"/>
      <c r="C365" s="6"/>
      <c r="D365" s="6"/>
      <c r="E365" s="6"/>
      <c r="F365" s="6"/>
      <c r="G365" s="6" t="str">
        <f>IFERROR(__xludf.DUMMYFUNCTION("""COMPUTED_VALUE"""),"")</f>
        <v/>
      </c>
      <c r="H365" s="6"/>
      <c r="I365" s="6"/>
      <c r="J365" s="6"/>
      <c r="K365" s="6"/>
      <c r="L365" s="6"/>
      <c r="M365" s="6"/>
      <c r="N365" s="6"/>
      <c r="O365" s="6"/>
      <c r="P365" s="6"/>
      <c r="Q365" s="6"/>
      <c r="R365" s="6"/>
      <c r="S365" s="6"/>
      <c r="T365" s="6"/>
      <c r="U365" s="6"/>
      <c r="V365" s="6"/>
      <c r="W365" s="6"/>
      <c r="X365" s="6"/>
    </row>
    <row r="366" hidden="1">
      <c r="A366" s="6"/>
      <c r="B366" s="6"/>
      <c r="C366" s="6"/>
      <c r="D366" s="6"/>
      <c r="E366" s="6"/>
      <c r="F366" s="6"/>
      <c r="G366" s="6" t="str">
        <f>IFERROR(__xludf.DUMMYFUNCTION("""COMPUTED_VALUE"""),"")</f>
        <v/>
      </c>
      <c r="H366" s="6"/>
      <c r="I366" s="6"/>
      <c r="J366" s="6"/>
      <c r="K366" s="6"/>
      <c r="L366" s="6"/>
      <c r="M366" s="6"/>
      <c r="N366" s="6"/>
      <c r="O366" s="6"/>
      <c r="P366" s="6"/>
      <c r="Q366" s="6"/>
      <c r="R366" s="6"/>
      <c r="S366" s="6"/>
      <c r="T366" s="6"/>
      <c r="U366" s="6"/>
      <c r="V366" s="6"/>
      <c r="W366" s="6"/>
      <c r="X366" s="6"/>
    </row>
    <row r="367" hidden="1">
      <c r="A367" s="6"/>
      <c r="B367" s="6"/>
      <c r="C367" s="6"/>
      <c r="D367" s="6"/>
      <c r="E367" s="6"/>
      <c r="F367" s="6"/>
      <c r="G367" s="6" t="str">
        <f>IFERROR(__xludf.DUMMYFUNCTION("""COMPUTED_VALUE"""),"")</f>
        <v/>
      </c>
      <c r="H367" s="6"/>
      <c r="I367" s="6"/>
      <c r="J367" s="6"/>
      <c r="K367" s="6"/>
      <c r="L367" s="6"/>
      <c r="M367" s="6"/>
      <c r="N367" s="6"/>
      <c r="O367" s="6"/>
      <c r="P367" s="6"/>
      <c r="Q367" s="6"/>
      <c r="R367" s="6"/>
      <c r="S367" s="6"/>
      <c r="T367" s="6"/>
      <c r="U367" s="6"/>
      <c r="V367" s="6"/>
      <c r="W367" s="6"/>
      <c r="X367" s="6"/>
    </row>
    <row r="368" hidden="1">
      <c r="A368" s="6"/>
      <c r="B368" s="6"/>
      <c r="C368" s="6"/>
      <c r="D368" s="6"/>
      <c r="E368" s="6"/>
      <c r="F368" s="6"/>
      <c r="G368" s="6" t="str">
        <f>IFERROR(__xludf.DUMMYFUNCTION("""COMPUTED_VALUE"""),"")</f>
        <v/>
      </c>
      <c r="H368" s="6"/>
      <c r="I368" s="6"/>
      <c r="J368" s="6"/>
      <c r="K368" s="6"/>
      <c r="L368" s="6"/>
      <c r="M368" s="6"/>
      <c r="N368" s="6"/>
      <c r="O368" s="6"/>
      <c r="P368" s="6"/>
      <c r="Q368" s="6"/>
      <c r="R368" s="6"/>
      <c r="S368" s="6"/>
      <c r="T368" s="6"/>
      <c r="U368" s="6"/>
      <c r="V368" s="6"/>
      <c r="W368" s="6"/>
      <c r="X368" s="6"/>
    </row>
    <row r="369" hidden="1">
      <c r="A369" s="6"/>
      <c r="B369" s="6"/>
      <c r="C369" s="6"/>
      <c r="D369" s="6"/>
      <c r="E369" s="6"/>
      <c r="F369" s="6"/>
      <c r="G369" s="6" t="str">
        <f>IFERROR(__xludf.DUMMYFUNCTION("""COMPUTED_VALUE"""),"")</f>
        <v/>
      </c>
      <c r="H369" s="6"/>
      <c r="I369" s="6"/>
      <c r="J369" s="6"/>
      <c r="K369" s="6"/>
      <c r="L369" s="6"/>
      <c r="M369" s="6"/>
      <c r="N369" s="6"/>
      <c r="O369" s="6"/>
      <c r="P369" s="6"/>
      <c r="Q369" s="6"/>
      <c r="R369" s="6"/>
      <c r="S369" s="6"/>
      <c r="T369" s="6"/>
      <c r="U369" s="6"/>
      <c r="V369" s="6"/>
      <c r="W369" s="6"/>
      <c r="X369" s="6"/>
    </row>
    <row r="370" hidden="1">
      <c r="A370" s="6"/>
      <c r="B370" s="6"/>
      <c r="C370" s="6"/>
      <c r="D370" s="6"/>
      <c r="E370" s="6"/>
      <c r="F370" s="6"/>
      <c r="G370" s="6" t="str">
        <f>IFERROR(__xludf.DUMMYFUNCTION("""COMPUTED_VALUE"""),"")</f>
        <v/>
      </c>
      <c r="H370" s="6"/>
      <c r="I370" s="6"/>
      <c r="J370" s="6"/>
      <c r="K370" s="6"/>
      <c r="L370" s="6"/>
      <c r="M370" s="6"/>
      <c r="N370" s="6"/>
      <c r="O370" s="6"/>
      <c r="P370" s="6"/>
      <c r="Q370" s="6"/>
      <c r="R370" s="6"/>
      <c r="S370" s="6"/>
      <c r="T370" s="6"/>
      <c r="U370" s="6"/>
      <c r="V370" s="6"/>
      <c r="W370" s="6"/>
      <c r="X370" s="6"/>
    </row>
    <row r="371" hidden="1">
      <c r="A371" s="6"/>
      <c r="B371" s="6"/>
      <c r="C371" s="6"/>
      <c r="D371" s="6"/>
      <c r="E371" s="6"/>
      <c r="F371" s="6"/>
      <c r="G371" s="6" t="str">
        <f>IFERROR(__xludf.DUMMYFUNCTION("""COMPUTED_VALUE"""),"")</f>
        <v/>
      </c>
      <c r="H371" s="6"/>
      <c r="I371" s="6"/>
      <c r="J371" s="6"/>
      <c r="K371" s="6"/>
      <c r="L371" s="6"/>
      <c r="M371" s="6"/>
      <c r="N371" s="6"/>
      <c r="O371" s="6"/>
      <c r="P371" s="6"/>
      <c r="Q371" s="6"/>
      <c r="R371" s="6"/>
      <c r="S371" s="6"/>
      <c r="T371" s="6"/>
      <c r="U371" s="6"/>
      <c r="V371" s="6"/>
      <c r="W371" s="6"/>
      <c r="X371" s="6"/>
    </row>
    <row r="372" hidden="1">
      <c r="A372" s="6"/>
      <c r="B372" s="6"/>
      <c r="C372" s="6"/>
      <c r="D372" s="6"/>
      <c r="E372" s="6"/>
      <c r="F372" s="6"/>
      <c r="G372" s="6" t="str">
        <f>IFERROR(__xludf.DUMMYFUNCTION("""COMPUTED_VALUE"""),"")</f>
        <v/>
      </c>
      <c r="H372" s="6"/>
      <c r="I372" s="6"/>
      <c r="J372" s="6"/>
      <c r="K372" s="6"/>
      <c r="L372" s="6"/>
      <c r="M372" s="6"/>
      <c r="N372" s="6"/>
      <c r="O372" s="6"/>
      <c r="P372" s="6"/>
      <c r="Q372" s="6"/>
      <c r="R372" s="6"/>
      <c r="S372" s="6"/>
      <c r="T372" s="6"/>
      <c r="U372" s="6"/>
      <c r="V372" s="6"/>
      <c r="W372" s="6"/>
      <c r="X372" s="6"/>
    </row>
    <row r="373" hidden="1">
      <c r="A373" s="6"/>
      <c r="B373" s="6"/>
      <c r="C373" s="6"/>
      <c r="D373" s="6"/>
      <c r="E373" s="6"/>
      <c r="F373" s="6"/>
      <c r="G373" s="6" t="str">
        <f>IFERROR(__xludf.DUMMYFUNCTION("""COMPUTED_VALUE"""),"")</f>
        <v/>
      </c>
      <c r="H373" s="6"/>
      <c r="I373" s="6"/>
      <c r="J373" s="6"/>
      <c r="K373" s="6"/>
      <c r="L373" s="6"/>
      <c r="M373" s="6"/>
      <c r="N373" s="6"/>
      <c r="O373" s="6"/>
      <c r="P373" s="6"/>
      <c r="Q373" s="6"/>
      <c r="R373" s="6"/>
      <c r="S373" s="6"/>
      <c r="T373" s="6"/>
      <c r="U373" s="6"/>
      <c r="V373" s="6"/>
      <c r="W373" s="6"/>
      <c r="X373" s="6"/>
    </row>
    <row r="374" hidden="1">
      <c r="A374" s="6"/>
      <c r="B374" s="6"/>
      <c r="C374" s="6"/>
      <c r="D374" s="6"/>
      <c r="E374" s="6"/>
      <c r="F374" s="6"/>
      <c r="G374" s="6" t="str">
        <f>IFERROR(__xludf.DUMMYFUNCTION("""COMPUTED_VALUE"""),"")</f>
        <v/>
      </c>
      <c r="H374" s="6"/>
      <c r="I374" s="6"/>
      <c r="J374" s="6"/>
      <c r="K374" s="6"/>
      <c r="L374" s="6"/>
      <c r="M374" s="6"/>
      <c r="N374" s="6"/>
      <c r="O374" s="6"/>
      <c r="P374" s="6"/>
      <c r="Q374" s="6"/>
      <c r="R374" s="6"/>
      <c r="S374" s="6"/>
      <c r="T374" s="6"/>
      <c r="U374" s="6"/>
      <c r="V374" s="6"/>
      <c r="W374" s="6"/>
      <c r="X374" s="6"/>
    </row>
    <row r="375" hidden="1">
      <c r="A375" s="6"/>
      <c r="B375" s="6"/>
      <c r="C375" s="6"/>
      <c r="D375" s="6"/>
      <c r="E375" s="6"/>
      <c r="F375" s="6"/>
      <c r="G375" s="6" t="str">
        <f>IFERROR(__xludf.DUMMYFUNCTION("""COMPUTED_VALUE"""),"")</f>
        <v/>
      </c>
      <c r="H375" s="6"/>
      <c r="I375" s="6"/>
      <c r="J375" s="6"/>
      <c r="K375" s="6"/>
      <c r="L375" s="6"/>
      <c r="M375" s="6"/>
      <c r="N375" s="6"/>
      <c r="O375" s="6"/>
      <c r="P375" s="6"/>
      <c r="Q375" s="6"/>
      <c r="R375" s="6"/>
      <c r="S375" s="6"/>
      <c r="T375" s="6"/>
      <c r="U375" s="6"/>
      <c r="V375" s="6"/>
      <c r="W375" s="6"/>
      <c r="X375" s="6"/>
    </row>
    <row r="376" hidden="1">
      <c r="A376" s="6"/>
      <c r="B376" s="6"/>
      <c r="C376" s="6"/>
      <c r="D376" s="6"/>
      <c r="E376" s="6"/>
      <c r="F376" s="6"/>
      <c r="G376" s="6" t="str">
        <f>IFERROR(__xludf.DUMMYFUNCTION("""COMPUTED_VALUE"""),"")</f>
        <v/>
      </c>
      <c r="H376" s="6"/>
      <c r="I376" s="6"/>
      <c r="J376" s="6"/>
      <c r="K376" s="6"/>
      <c r="L376" s="6"/>
      <c r="M376" s="6"/>
      <c r="N376" s="6"/>
      <c r="O376" s="6"/>
      <c r="P376" s="6"/>
      <c r="Q376" s="6"/>
      <c r="R376" s="6"/>
      <c r="S376" s="6"/>
      <c r="T376" s="6"/>
      <c r="U376" s="6"/>
      <c r="V376" s="6"/>
      <c r="W376" s="6"/>
      <c r="X376" s="6"/>
    </row>
    <row r="377" hidden="1">
      <c r="A377" s="6"/>
      <c r="B377" s="6"/>
      <c r="C377" s="6"/>
      <c r="D377" s="6"/>
      <c r="E377" s="6"/>
      <c r="F377" s="6"/>
      <c r="G377" s="6" t="str">
        <f>IFERROR(__xludf.DUMMYFUNCTION("""COMPUTED_VALUE"""),"")</f>
        <v/>
      </c>
      <c r="H377" s="6"/>
      <c r="I377" s="6"/>
      <c r="J377" s="6"/>
      <c r="K377" s="6"/>
      <c r="L377" s="6"/>
      <c r="M377" s="6"/>
      <c r="N377" s="6"/>
      <c r="O377" s="6"/>
      <c r="P377" s="6"/>
      <c r="Q377" s="6"/>
      <c r="R377" s="6"/>
      <c r="S377" s="6"/>
      <c r="T377" s="6"/>
      <c r="U377" s="6"/>
      <c r="V377" s="6"/>
      <c r="W377" s="6"/>
      <c r="X377" s="6"/>
    </row>
    <row r="378" hidden="1">
      <c r="A378" s="6"/>
      <c r="B378" s="6"/>
      <c r="C378" s="6"/>
      <c r="D378" s="6"/>
      <c r="E378" s="6"/>
      <c r="F378" s="6"/>
      <c r="G378" s="6" t="str">
        <f>IFERROR(__xludf.DUMMYFUNCTION("""COMPUTED_VALUE"""),"")</f>
        <v/>
      </c>
      <c r="H378" s="6"/>
      <c r="I378" s="6"/>
      <c r="J378" s="6"/>
      <c r="K378" s="6"/>
      <c r="L378" s="6"/>
      <c r="M378" s="6"/>
      <c r="N378" s="6"/>
      <c r="O378" s="6"/>
      <c r="P378" s="6"/>
      <c r="Q378" s="6"/>
      <c r="R378" s="6"/>
      <c r="S378" s="6"/>
      <c r="T378" s="6"/>
      <c r="U378" s="6"/>
      <c r="V378" s="6"/>
      <c r="W378" s="6"/>
      <c r="X378" s="6"/>
    </row>
    <row r="379" hidden="1">
      <c r="A379" s="6"/>
      <c r="B379" s="6"/>
      <c r="C379" s="6"/>
      <c r="D379" s="6"/>
      <c r="E379" s="6"/>
      <c r="F379" s="6"/>
      <c r="G379" s="6" t="str">
        <f>IFERROR(__xludf.DUMMYFUNCTION("""COMPUTED_VALUE"""),"")</f>
        <v/>
      </c>
      <c r="H379" s="6"/>
      <c r="I379" s="6"/>
      <c r="J379" s="6"/>
      <c r="K379" s="6"/>
      <c r="L379" s="6"/>
      <c r="M379" s="6"/>
      <c r="N379" s="6"/>
      <c r="O379" s="6"/>
      <c r="P379" s="6"/>
      <c r="Q379" s="6"/>
      <c r="R379" s="6"/>
      <c r="S379" s="6"/>
      <c r="T379" s="6"/>
      <c r="U379" s="6"/>
      <c r="V379" s="6"/>
      <c r="W379" s="6"/>
      <c r="X379" s="6"/>
    </row>
    <row r="380" hidden="1">
      <c r="A380" s="6"/>
      <c r="B380" s="6"/>
      <c r="C380" s="6"/>
      <c r="D380" s="6"/>
      <c r="E380" s="6"/>
      <c r="F380" s="6"/>
      <c r="G380" s="6" t="str">
        <f>IFERROR(__xludf.DUMMYFUNCTION("""COMPUTED_VALUE"""),"")</f>
        <v/>
      </c>
      <c r="H380" s="6"/>
      <c r="I380" s="6"/>
      <c r="J380" s="6"/>
      <c r="K380" s="6"/>
      <c r="L380" s="6"/>
      <c r="M380" s="6"/>
      <c r="N380" s="6"/>
      <c r="O380" s="6"/>
      <c r="P380" s="6"/>
      <c r="Q380" s="6"/>
      <c r="R380" s="6"/>
      <c r="S380" s="6"/>
      <c r="T380" s="6"/>
      <c r="U380" s="6"/>
      <c r="V380" s="6"/>
      <c r="W380" s="6"/>
      <c r="X380" s="6"/>
    </row>
    <row r="381" hidden="1">
      <c r="A381" s="6"/>
      <c r="B381" s="6"/>
      <c r="C381" s="6"/>
      <c r="D381" s="6"/>
      <c r="E381" s="6"/>
      <c r="F381" s="6"/>
      <c r="G381" s="6" t="str">
        <f>IFERROR(__xludf.DUMMYFUNCTION("""COMPUTED_VALUE"""),"")</f>
        <v/>
      </c>
      <c r="H381" s="6"/>
      <c r="I381" s="6"/>
      <c r="J381" s="6"/>
      <c r="K381" s="6"/>
      <c r="L381" s="6"/>
      <c r="M381" s="6"/>
      <c r="N381" s="6"/>
      <c r="O381" s="6"/>
      <c r="P381" s="6"/>
      <c r="Q381" s="6"/>
      <c r="R381" s="6"/>
      <c r="S381" s="6"/>
      <c r="T381" s="6"/>
      <c r="U381" s="6"/>
      <c r="V381" s="6"/>
      <c r="W381" s="6"/>
      <c r="X381" s="6"/>
    </row>
    <row r="382" hidden="1">
      <c r="A382" s="6"/>
      <c r="B382" s="6"/>
      <c r="C382" s="6"/>
      <c r="D382" s="6"/>
      <c r="E382" s="6"/>
      <c r="F382" s="6"/>
      <c r="G382" s="6" t="str">
        <f>IFERROR(__xludf.DUMMYFUNCTION("""COMPUTED_VALUE"""),"")</f>
        <v/>
      </c>
      <c r="H382" s="6"/>
      <c r="I382" s="6"/>
      <c r="J382" s="6"/>
      <c r="K382" s="6"/>
      <c r="L382" s="6"/>
      <c r="M382" s="6"/>
      <c r="N382" s="6"/>
      <c r="O382" s="6"/>
      <c r="P382" s="6"/>
      <c r="Q382" s="6"/>
      <c r="R382" s="6"/>
      <c r="S382" s="6"/>
      <c r="T382" s="6"/>
      <c r="U382" s="6"/>
      <c r="V382" s="6"/>
      <c r="W382" s="6"/>
      <c r="X382" s="6"/>
    </row>
    <row r="383" hidden="1">
      <c r="A383" s="6"/>
      <c r="B383" s="6"/>
      <c r="C383" s="6"/>
      <c r="D383" s="6"/>
      <c r="E383" s="6"/>
      <c r="F383" s="6"/>
      <c r="G383" s="6" t="str">
        <f>IFERROR(__xludf.DUMMYFUNCTION("""COMPUTED_VALUE"""),"")</f>
        <v/>
      </c>
      <c r="H383" s="6"/>
      <c r="I383" s="6"/>
      <c r="J383" s="6"/>
      <c r="K383" s="6"/>
      <c r="L383" s="6"/>
      <c r="M383" s="6"/>
      <c r="N383" s="6"/>
      <c r="O383" s="6"/>
      <c r="P383" s="6"/>
      <c r="Q383" s="6"/>
      <c r="R383" s="6"/>
      <c r="S383" s="6"/>
      <c r="T383" s="6"/>
      <c r="U383" s="6"/>
      <c r="V383" s="6"/>
      <c r="W383" s="6"/>
      <c r="X383" s="6"/>
    </row>
    <row r="384" hidden="1">
      <c r="A384" s="6"/>
      <c r="B384" s="6"/>
      <c r="C384" s="6"/>
      <c r="D384" s="6"/>
      <c r="E384" s="6"/>
      <c r="F384" s="6"/>
      <c r="G384" s="6" t="str">
        <f>IFERROR(__xludf.DUMMYFUNCTION("""COMPUTED_VALUE"""),"")</f>
        <v/>
      </c>
      <c r="H384" s="6"/>
      <c r="I384" s="6"/>
      <c r="J384" s="6"/>
      <c r="K384" s="6"/>
      <c r="L384" s="6"/>
      <c r="M384" s="6"/>
      <c r="N384" s="6"/>
      <c r="O384" s="6"/>
      <c r="P384" s="6"/>
      <c r="Q384" s="6"/>
      <c r="R384" s="6"/>
      <c r="S384" s="6"/>
      <c r="T384" s="6"/>
      <c r="U384" s="6"/>
      <c r="V384" s="6"/>
      <c r="W384" s="6"/>
      <c r="X384" s="6"/>
    </row>
    <row r="385" hidden="1">
      <c r="A385" s="6"/>
      <c r="B385" s="6"/>
      <c r="C385" s="6"/>
      <c r="D385" s="6"/>
      <c r="E385" s="6"/>
      <c r="F385" s="6"/>
      <c r="G385" s="6" t="str">
        <f>IFERROR(__xludf.DUMMYFUNCTION("""COMPUTED_VALUE"""),"")</f>
        <v/>
      </c>
      <c r="H385" s="6"/>
      <c r="I385" s="6"/>
      <c r="J385" s="6"/>
      <c r="K385" s="6"/>
      <c r="L385" s="6"/>
      <c r="M385" s="6"/>
      <c r="N385" s="6"/>
      <c r="O385" s="6"/>
      <c r="P385" s="6"/>
      <c r="Q385" s="6"/>
      <c r="R385" s="6"/>
      <c r="S385" s="6"/>
      <c r="T385" s="6"/>
      <c r="U385" s="6"/>
      <c r="V385" s="6"/>
      <c r="W385" s="6"/>
      <c r="X385" s="6"/>
    </row>
    <row r="386" hidden="1">
      <c r="A386" s="6"/>
      <c r="B386" s="6"/>
      <c r="C386" s="6"/>
      <c r="D386" s="6"/>
      <c r="E386" s="6"/>
      <c r="F386" s="6"/>
      <c r="G386" s="6" t="str">
        <f>IFERROR(__xludf.DUMMYFUNCTION("""COMPUTED_VALUE"""),"")</f>
        <v/>
      </c>
      <c r="H386" s="6"/>
      <c r="I386" s="6"/>
      <c r="J386" s="6"/>
      <c r="K386" s="6"/>
      <c r="L386" s="6"/>
      <c r="M386" s="6"/>
      <c r="N386" s="6"/>
      <c r="O386" s="6"/>
      <c r="P386" s="6"/>
      <c r="Q386" s="6"/>
      <c r="R386" s="6"/>
      <c r="S386" s="6"/>
      <c r="T386" s="6"/>
      <c r="U386" s="6"/>
      <c r="V386" s="6"/>
      <c r="W386" s="6"/>
      <c r="X386" s="6"/>
    </row>
    <row r="387" hidden="1">
      <c r="A387" s="6"/>
      <c r="B387" s="6"/>
      <c r="C387" s="6"/>
      <c r="D387" s="6"/>
      <c r="E387" s="6"/>
      <c r="F387" s="6"/>
      <c r="G387" s="6" t="str">
        <f>IFERROR(__xludf.DUMMYFUNCTION("""COMPUTED_VALUE"""),"")</f>
        <v/>
      </c>
      <c r="H387" s="6"/>
      <c r="I387" s="6"/>
      <c r="J387" s="6"/>
      <c r="K387" s="6"/>
      <c r="L387" s="6"/>
      <c r="M387" s="6"/>
      <c r="N387" s="6"/>
      <c r="O387" s="6"/>
      <c r="P387" s="6"/>
      <c r="Q387" s="6"/>
      <c r="R387" s="6"/>
      <c r="S387" s="6"/>
      <c r="T387" s="6"/>
      <c r="U387" s="6"/>
      <c r="V387" s="6"/>
      <c r="W387" s="6"/>
      <c r="X387" s="6"/>
    </row>
    <row r="388" hidden="1">
      <c r="A388" s="6"/>
      <c r="B388" s="6"/>
      <c r="C388" s="6"/>
      <c r="D388" s="6"/>
      <c r="E388" s="6"/>
      <c r="F388" s="6"/>
      <c r="G388" s="6" t="str">
        <f>IFERROR(__xludf.DUMMYFUNCTION("""COMPUTED_VALUE"""),"")</f>
        <v/>
      </c>
      <c r="H388" s="6"/>
      <c r="I388" s="6"/>
      <c r="J388" s="6"/>
      <c r="K388" s="6"/>
      <c r="L388" s="6"/>
      <c r="M388" s="6"/>
      <c r="N388" s="6"/>
      <c r="O388" s="6"/>
      <c r="P388" s="6"/>
      <c r="Q388" s="6"/>
      <c r="R388" s="6"/>
      <c r="S388" s="6"/>
      <c r="T388" s="6"/>
      <c r="U388" s="6"/>
      <c r="V388" s="6"/>
      <c r="W388" s="6"/>
      <c r="X388" s="6"/>
    </row>
    <row r="389" hidden="1">
      <c r="A389" s="6"/>
      <c r="B389" s="6"/>
      <c r="C389" s="6"/>
      <c r="D389" s="6"/>
      <c r="E389" s="6"/>
      <c r="F389" s="6"/>
      <c r="G389" s="6" t="str">
        <f>IFERROR(__xludf.DUMMYFUNCTION("""COMPUTED_VALUE"""),"")</f>
        <v/>
      </c>
      <c r="H389" s="6"/>
      <c r="I389" s="6"/>
      <c r="J389" s="6"/>
      <c r="K389" s="6"/>
      <c r="L389" s="6"/>
      <c r="M389" s="6"/>
      <c r="N389" s="6"/>
      <c r="O389" s="6"/>
      <c r="P389" s="6"/>
      <c r="Q389" s="6"/>
      <c r="R389" s="6"/>
      <c r="S389" s="6"/>
      <c r="T389" s="6"/>
      <c r="U389" s="6"/>
      <c r="V389" s="6"/>
      <c r="W389" s="6"/>
      <c r="X389" s="6"/>
    </row>
    <row r="390" hidden="1">
      <c r="A390" s="6"/>
      <c r="B390" s="6"/>
      <c r="C390" s="6"/>
      <c r="D390" s="6"/>
      <c r="E390" s="6"/>
      <c r="F390" s="6"/>
      <c r="G390" s="6" t="str">
        <f>IFERROR(__xludf.DUMMYFUNCTION("""COMPUTED_VALUE"""),"")</f>
        <v/>
      </c>
      <c r="H390" s="6"/>
      <c r="I390" s="6"/>
      <c r="J390" s="6"/>
      <c r="K390" s="6"/>
      <c r="L390" s="6"/>
      <c r="M390" s="6"/>
      <c r="N390" s="6"/>
      <c r="O390" s="6"/>
      <c r="P390" s="6"/>
      <c r="Q390" s="6"/>
      <c r="R390" s="6"/>
      <c r="S390" s="6"/>
      <c r="T390" s="6"/>
      <c r="U390" s="6"/>
      <c r="V390" s="6"/>
      <c r="W390" s="6"/>
      <c r="X390" s="6"/>
    </row>
    <row r="391" hidden="1">
      <c r="A391" s="6"/>
      <c r="B391" s="6"/>
      <c r="C391" s="6"/>
      <c r="D391" s="6"/>
      <c r="E391" s="6"/>
      <c r="F391" s="6"/>
      <c r="G391" s="6" t="str">
        <f>IFERROR(__xludf.DUMMYFUNCTION("""COMPUTED_VALUE"""),"")</f>
        <v/>
      </c>
      <c r="H391" s="6"/>
      <c r="I391" s="6"/>
      <c r="J391" s="6"/>
      <c r="K391" s="6"/>
      <c r="L391" s="6"/>
      <c r="M391" s="6"/>
      <c r="N391" s="6"/>
      <c r="O391" s="6"/>
      <c r="P391" s="6"/>
      <c r="Q391" s="6"/>
      <c r="R391" s="6"/>
      <c r="S391" s="6"/>
      <c r="T391" s="6"/>
      <c r="U391" s="6"/>
      <c r="V391" s="6"/>
      <c r="W391" s="6"/>
      <c r="X391" s="6"/>
    </row>
    <row r="392" hidden="1">
      <c r="A392" s="6"/>
      <c r="B392" s="6"/>
      <c r="C392" s="6"/>
      <c r="D392" s="6"/>
      <c r="E392" s="6"/>
      <c r="F392" s="6"/>
      <c r="G392" s="6" t="str">
        <f>IFERROR(__xludf.DUMMYFUNCTION("""COMPUTED_VALUE"""),"")</f>
        <v/>
      </c>
      <c r="H392" s="6"/>
      <c r="I392" s="6"/>
      <c r="J392" s="6"/>
      <c r="K392" s="6"/>
      <c r="L392" s="6"/>
      <c r="M392" s="6"/>
      <c r="N392" s="6"/>
      <c r="O392" s="6"/>
      <c r="P392" s="6"/>
      <c r="Q392" s="6"/>
      <c r="R392" s="6"/>
      <c r="S392" s="6"/>
      <c r="T392" s="6"/>
      <c r="U392" s="6"/>
      <c r="V392" s="6"/>
      <c r="W392" s="6"/>
      <c r="X392" s="6"/>
    </row>
    <row r="393" hidden="1">
      <c r="A393" s="6"/>
      <c r="B393" s="6"/>
      <c r="C393" s="6"/>
      <c r="D393" s="6"/>
      <c r="E393" s="6"/>
      <c r="F393" s="6"/>
      <c r="G393" s="6" t="str">
        <f>IFERROR(__xludf.DUMMYFUNCTION("""COMPUTED_VALUE"""),"")</f>
        <v/>
      </c>
      <c r="H393" s="6"/>
      <c r="I393" s="6"/>
      <c r="J393" s="6"/>
      <c r="K393" s="6"/>
      <c r="L393" s="6"/>
      <c r="M393" s="6"/>
      <c r="N393" s="6"/>
      <c r="O393" s="6"/>
      <c r="P393" s="6"/>
      <c r="Q393" s="6"/>
      <c r="R393" s="6"/>
      <c r="S393" s="6"/>
      <c r="T393" s="6"/>
      <c r="U393" s="6"/>
      <c r="V393" s="6"/>
      <c r="W393" s="6"/>
      <c r="X393" s="6"/>
    </row>
    <row r="394" hidden="1">
      <c r="A394" s="6"/>
      <c r="B394" s="6"/>
      <c r="C394" s="6"/>
      <c r="D394" s="6"/>
      <c r="E394" s="6"/>
      <c r="F394" s="6"/>
      <c r="G394" s="6" t="str">
        <f>IFERROR(__xludf.DUMMYFUNCTION("""COMPUTED_VALUE"""),"")</f>
        <v/>
      </c>
      <c r="H394" s="6"/>
      <c r="I394" s="6"/>
      <c r="J394" s="6"/>
      <c r="K394" s="6"/>
      <c r="L394" s="6"/>
      <c r="M394" s="6"/>
      <c r="N394" s="6"/>
      <c r="O394" s="6"/>
      <c r="P394" s="6"/>
      <c r="Q394" s="6"/>
      <c r="R394" s="6"/>
      <c r="S394" s="6"/>
      <c r="T394" s="6"/>
      <c r="U394" s="6"/>
      <c r="V394" s="6"/>
      <c r="W394" s="6"/>
      <c r="X394" s="6"/>
    </row>
    <row r="395" hidden="1">
      <c r="A395" s="6"/>
      <c r="B395" s="6"/>
      <c r="C395" s="6"/>
      <c r="D395" s="6"/>
      <c r="E395" s="6"/>
      <c r="F395" s="6"/>
      <c r="G395" s="6" t="str">
        <f>IFERROR(__xludf.DUMMYFUNCTION("""COMPUTED_VALUE"""),"")</f>
        <v/>
      </c>
      <c r="H395" s="6"/>
      <c r="I395" s="6"/>
      <c r="J395" s="6"/>
      <c r="K395" s="6"/>
      <c r="L395" s="6"/>
      <c r="M395" s="6"/>
      <c r="N395" s="6"/>
      <c r="O395" s="6"/>
      <c r="P395" s="6"/>
      <c r="Q395" s="6"/>
      <c r="R395" s="6"/>
      <c r="S395" s="6"/>
      <c r="T395" s="6"/>
      <c r="U395" s="6"/>
      <c r="V395" s="6"/>
      <c r="W395" s="6"/>
      <c r="X395" s="6"/>
    </row>
    <row r="396" hidden="1">
      <c r="A396" s="6"/>
      <c r="B396" s="6"/>
      <c r="C396" s="6"/>
      <c r="D396" s="6"/>
      <c r="E396" s="6"/>
      <c r="F396" s="6"/>
      <c r="G396" s="6" t="str">
        <f>IFERROR(__xludf.DUMMYFUNCTION("""COMPUTED_VALUE"""),"")</f>
        <v/>
      </c>
      <c r="H396" s="6"/>
      <c r="I396" s="6"/>
      <c r="J396" s="6"/>
      <c r="K396" s="6"/>
      <c r="L396" s="6"/>
      <c r="M396" s="6"/>
      <c r="N396" s="6"/>
      <c r="O396" s="6"/>
      <c r="P396" s="6"/>
      <c r="Q396" s="6"/>
      <c r="R396" s="6"/>
      <c r="S396" s="6"/>
      <c r="T396" s="6"/>
      <c r="U396" s="6"/>
      <c r="V396" s="6"/>
      <c r="W396" s="6"/>
      <c r="X396" s="6"/>
    </row>
    <row r="397" hidden="1">
      <c r="A397" s="6"/>
      <c r="B397" s="6"/>
      <c r="C397" s="6"/>
      <c r="D397" s="6"/>
      <c r="E397" s="6"/>
      <c r="F397" s="6"/>
      <c r="G397" s="6" t="str">
        <f>IFERROR(__xludf.DUMMYFUNCTION("""COMPUTED_VALUE"""),"")</f>
        <v/>
      </c>
      <c r="H397" s="6"/>
      <c r="I397" s="6"/>
      <c r="J397" s="6"/>
      <c r="K397" s="6"/>
      <c r="L397" s="6"/>
      <c r="M397" s="6"/>
      <c r="N397" s="6"/>
      <c r="O397" s="6"/>
      <c r="P397" s="6"/>
      <c r="Q397" s="6"/>
      <c r="R397" s="6"/>
      <c r="S397" s="6"/>
      <c r="T397" s="6"/>
      <c r="U397" s="6"/>
      <c r="V397" s="6"/>
      <c r="W397" s="6"/>
      <c r="X397" s="6"/>
    </row>
    <row r="398" hidden="1">
      <c r="A398" s="6"/>
      <c r="B398" s="6"/>
      <c r="C398" s="6"/>
      <c r="D398" s="6"/>
      <c r="E398" s="6"/>
      <c r="F398" s="6"/>
      <c r="G398" s="6" t="str">
        <f>IFERROR(__xludf.DUMMYFUNCTION("""COMPUTED_VALUE"""),"")</f>
        <v/>
      </c>
      <c r="H398" s="6"/>
      <c r="I398" s="6"/>
      <c r="J398" s="6"/>
      <c r="K398" s="6"/>
      <c r="L398" s="6"/>
      <c r="M398" s="6"/>
      <c r="N398" s="6"/>
      <c r="O398" s="6"/>
      <c r="P398" s="6"/>
      <c r="Q398" s="6"/>
      <c r="R398" s="6"/>
      <c r="S398" s="6"/>
      <c r="T398" s="6"/>
      <c r="U398" s="6"/>
      <c r="V398" s="6"/>
      <c r="W398" s="6"/>
      <c r="X398" s="6"/>
    </row>
    <row r="399" hidden="1">
      <c r="A399" s="6"/>
      <c r="B399" s="6"/>
      <c r="C399" s="6"/>
      <c r="D399" s="6"/>
      <c r="E399" s="6"/>
      <c r="F399" s="6"/>
      <c r="G399" s="6" t="str">
        <f>IFERROR(__xludf.DUMMYFUNCTION("""COMPUTED_VALUE"""),"")</f>
        <v/>
      </c>
      <c r="H399" s="6"/>
      <c r="I399" s="6"/>
      <c r="J399" s="6"/>
      <c r="K399" s="6"/>
      <c r="L399" s="6"/>
      <c r="M399" s="6"/>
      <c r="N399" s="6"/>
      <c r="O399" s="6"/>
      <c r="P399" s="6"/>
      <c r="Q399" s="6"/>
      <c r="R399" s="6"/>
      <c r="S399" s="6"/>
      <c r="T399" s="6"/>
      <c r="U399" s="6"/>
      <c r="V399" s="6"/>
      <c r="W399" s="6"/>
      <c r="X399" s="6"/>
    </row>
    <row r="400" hidden="1">
      <c r="A400" s="6"/>
      <c r="B400" s="6"/>
      <c r="C400" s="6"/>
      <c r="D400" s="6"/>
      <c r="E400" s="6"/>
      <c r="F400" s="6"/>
      <c r="G400" s="6" t="str">
        <f>IFERROR(__xludf.DUMMYFUNCTION("""COMPUTED_VALUE"""),"")</f>
        <v/>
      </c>
      <c r="H400" s="6"/>
      <c r="I400" s="6"/>
      <c r="J400" s="6"/>
      <c r="K400" s="6"/>
      <c r="L400" s="6"/>
      <c r="M400" s="6"/>
      <c r="N400" s="6"/>
      <c r="O400" s="6"/>
      <c r="P400" s="6"/>
      <c r="Q400" s="6"/>
      <c r="R400" s="6"/>
      <c r="S400" s="6"/>
      <c r="T400" s="6"/>
      <c r="U400" s="6"/>
      <c r="V400" s="6"/>
      <c r="W400" s="6"/>
      <c r="X400" s="6"/>
    </row>
    <row r="401" hidden="1">
      <c r="A401" s="6"/>
      <c r="B401" s="6"/>
      <c r="C401" s="6"/>
      <c r="D401" s="6"/>
      <c r="E401" s="6"/>
      <c r="F401" s="6"/>
      <c r="G401" s="6" t="str">
        <f>IFERROR(__xludf.DUMMYFUNCTION("""COMPUTED_VALUE"""),"")</f>
        <v/>
      </c>
      <c r="H401" s="6"/>
      <c r="I401" s="6"/>
      <c r="J401" s="6"/>
      <c r="K401" s="6"/>
      <c r="L401" s="6"/>
      <c r="M401" s="6"/>
      <c r="N401" s="6"/>
      <c r="O401" s="6"/>
      <c r="P401" s="6"/>
      <c r="Q401" s="6"/>
      <c r="R401" s="6"/>
      <c r="S401" s="6"/>
      <c r="T401" s="6"/>
      <c r="U401" s="6"/>
      <c r="V401" s="6"/>
      <c r="W401" s="6"/>
      <c r="X401" s="6"/>
    </row>
    <row r="402" hidden="1">
      <c r="A402" s="6"/>
      <c r="B402" s="6"/>
      <c r="C402" s="6"/>
      <c r="D402" s="6"/>
      <c r="E402" s="6"/>
      <c r="F402" s="6"/>
      <c r="G402" s="6" t="str">
        <f>IFERROR(__xludf.DUMMYFUNCTION("""COMPUTED_VALUE"""),"")</f>
        <v/>
      </c>
      <c r="H402" s="6"/>
      <c r="I402" s="6"/>
      <c r="J402" s="6"/>
      <c r="K402" s="6"/>
      <c r="L402" s="6"/>
      <c r="M402" s="6"/>
      <c r="N402" s="6"/>
      <c r="O402" s="6"/>
      <c r="P402" s="6"/>
      <c r="Q402" s="6"/>
      <c r="R402" s="6"/>
      <c r="S402" s="6"/>
      <c r="T402" s="6"/>
      <c r="U402" s="6"/>
      <c r="V402" s="6"/>
      <c r="W402" s="6"/>
      <c r="X402" s="6"/>
    </row>
    <row r="403" hidden="1">
      <c r="A403" s="6"/>
      <c r="B403" s="6"/>
      <c r="C403" s="6"/>
      <c r="D403" s="6"/>
      <c r="E403" s="6"/>
      <c r="F403" s="6"/>
      <c r="G403" s="6" t="str">
        <f>IFERROR(__xludf.DUMMYFUNCTION("""COMPUTED_VALUE"""),"")</f>
        <v/>
      </c>
      <c r="H403" s="6"/>
      <c r="I403" s="6"/>
      <c r="J403" s="6"/>
      <c r="K403" s="6"/>
      <c r="L403" s="6"/>
      <c r="M403" s="6"/>
      <c r="N403" s="6"/>
      <c r="O403" s="6"/>
      <c r="P403" s="6"/>
      <c r="Q403" s="6"/>
      <c r="R403" s="6"/>
      <c r="S403" s="6"/>
      <c r="T403" s="6"/>
      <c r="U403" s="6"/>
      <c r="V403" s="6"/>
      <c r="W403" s="6"/>
      <c r="X403" s="6"/>
    </row>
    <row r="404" hidden="1">
      <c r="A404" s="6"/>
      <c r="B404" s="6"/>
      <c r="C404" s="6"/>
      <c r="D404" s="6"/>
      <c r="E404" s="6"/>
      <c r="F404" s="6"/>
      <c r="G404" s="6" t="str">
        <f>IFERROR(__xludf.DUMMYFUNCTION("""COMPUTED_VALUE"""),"")</f>
        <v/>
      </c>
      <c r="H404" s="6"/>
      <c r="I404" s="6"/>
      <c r="J404" s="6"/>
      <c r="K404" s="6"/>
      <c r="L404" s="6"/>
      <c r="M404" s="6"/>
      <c r="N404" s="6"/>
      <c r="O404" s="6"/>
      <c r="P404" s="6"/>
      <c r="Q404" s="6"/>
      <c r="R404" s="6"/>
      <c r="S404" s="6"/>
      <c r="T404" s="6"/>
      <c r="U404" s="6"/>
      <c r="V404" s="6"/>
      <c r="W404" s="6"/>
      <c r="X404" s="6"/>
    </row>
    <row r="405" hidden="1">
      <c r="A405" s="6"/>
      <c r="B405" s="6"/>
      <c r="C405" s="6"/>
      <c r="D405" s="6"/>
      <c r="E405" s="6"/>
      <c r="F405" s="6"/>
      <c r="G405" s="6" t="str">
        <f>IFERROR(__xludf.DUMMYFUNCTION("""COMPUTED_VALUE"""),"")</f>
        <v/>
      </c>
      <c r="H405" s="6"/>
      <c r="I405" s="6"/>
      <c r="J405" s="6"/>
      <c r="K405" s="6"/>
      <c r="L405" s="6"/>
      <c r="M405" s="6"/>
      <c r="N405" s="6"/>
      <c r="O405" s="6"/>
      <c r="P405" s="6"/>
      <c r="Q405" s="6"/>
      <c r="R405" s="6"/>
      <c r="S405" s="6"/>
      <c r="T405" s="6"/>
      <c r="U405" s="6"/>
      <c r="V405" s="6"/>
      <c r="W405" s="6"/>
      <c r="X405" s="6"/>
    </row>
    <row r="406" hidden="1">
      <c r="A406" s="6"/>
      <c r="B406" s="6"/>
      <c r="C406" s="6"/>
      <c r="D406" s="6"/>
      <c r="E406" s="6"/>
      <c r="F406" s="6"/>
      <c r="G406" s="6" t="str">
        <f>IFERROR(__xludf.DUMMYFUNCTION("""COMPUTED_VALUE"""),"")</f>
        <v/>
      </c>
      <c r="H406" s="6"/>
      <c r="I406" s="6"/>
      <c r="J406" s="6"/>
      <c r="K406" s="6"/>
      <c r="L406" s="6"/>
      <c r="M406" s="6"/>
      <c r="N406" s="6"/>
      <c r="O406" s="6"/>
      <c r="P406" s="6"/>
      <c r="Q406" s="6"/>
      <c r="R406" s="6"/>
      <c r="S406" s="6"/>
      <c r="T406" s="6"/>
      <c r="U406" s="6"/>
      <c r="V406" s="6"/>
      <c r="W406" s="6"/>
      <c r="X406" s="6"/>
    </row>
    <row r="407" hidden="1">
      <c r="A407" s="6"/>
      <c r="B407" s="6"/>
      <c r="C407" s="6"/>
      <c r="D407" s="6"/>
      <c r="E407" s="6"/>
      <c r="F407" s="6"/>
      <c r="G407" s="6" t="str">
        <f>IFERROR(__xludf.DUMMYFUNCTION("""COMPUTED_VALUE"""),"")</f>
        <v/>
      </c>
      <c r="H407" s="6"/>
      <c r="I407" s="6"/>
      <c r="J407" s="6"/>
      <c r="K407" s="6"/>
      <c r="L407" s="6"/>
      <c r="M407" s="6"/>
      <c r="N407" s="6"/>
      <c r="O407" s="6"/>
      <c r="P407" s="6"/>
      <c r="Q407" s="6"/>
      <c r="R407" s="6"/>
      <c r="S407" s="6"/>
      <c r="T407" s="6"/>
      <c r="U407" s="6"/>
      <c r="V407" s="6"/>
      <c r="W407" s="6"/>
      <c r="X407" s="6"/>
    </row>
    <row r="408" hidden="1">
      <c r="A408" s="6"/>
      <c r="B408" s="6"/>
      <c r="C408" s="6"/>
      <c r="D408" s="6"/>
      <c r="E408" s="6"/>
      <c r="F408" s="6"/>
      <c r="G408" s="6" t="str">
        <f>IFERROR(__xludf.DUMMYFUNCTION("""COMPUTED_VALUE"""),"")</f>
        <v/>
      </c>
      <c r="H408" s="6"/>
      <c r="I408" s="6"/>
      <c r="J408" s="6"/>
      <c r="K408" s="6"/>
      <c r="L408" s="6"/>
      <c r="M408" s="6"/>
      <c r="N408" s="6"/>
      <c r="O408" s="6"/>
      <c r="P408" s="6"/>
      <c r="Q408" s="6"/>
      <c r="R408" s="6"/>
      <c r="S408" s="6"/>
      <c r="T408" s="6"/>
      <c r="U408" s="6"/>
      <c r="V408" s="6"/>
      <c r="W408" s="6"/>
      <c r="X408" s="6"/>
    </row>
    <row r="409" hidden="1">
      <c r="A409" s="6"/>
      <c r="B409" s="6"/>
      <c r="C409" s="6"/>
      <c r="D409" s="6"/>
      <c r="E409" s="6"/>
      <c r="F409" s="6"/>
      <c r="G409" s="6" t="str">
        <f>IFERROR(__xludf.DUMMYFUNCTION("""COMPUTED_VALUE"""),"")</f>
        <v/>
      </c>
      <c r="H409" s="6"/>
      <c r="I409" s="6"/>
      <c r="J409" s="6"/>
      <c r="K409" s="6"/>
      <c r="L409" s="6"/>
      <c r="M409" s="6"/>
      <c r="N409" s="6"/>
      <c r="O409" s="6"/>
      <c r="P409" s="6"/>
      <c r="Q409" s="6"/>
      <c r="R409" s="6"/>
      <c r="S409" s="6"/>
      <c r="T409" s="6"/>
      <c r="U409" s="6"/>
      <c r="V409" s="6"/>
      <c r="W409" s="6"/>
      <c r="X409" s="6"/>
    </row>
    <row r="410" hidden="1">
      <c r="A410" s="6"/>
      <c r="B410" s="6"/>
      <c r="C410" s="6"/>
      <c r="D410" s="6"/>
      <c r="E410" s="6"/>
      <c r="F410" s="6"/>
      <c r="G410" s="6" t="str">
        <f>IFERROR(__xludf.DUMMYFUNCTION("""COMPUTED_VALUE"""),"")</f>
        <v/>
      </c>
      <c r="H410" s="6"/>
      <c r="I410" s="6"/>
      <c r="J410" s="6"/>
      <c r="K410" s="6"/>
      <c r="L410" s="6"/>
      <c r="M410" s="6"/>
      <c r="N410" s="6"/>
      <c r="O410" s="6"/>
      <c r="P410" s="6"/>
      <c r="Q410" s="6"/>
      <c r="R410" s="6"/>
      <c r="S410" s="6"/>
      <c r="T410" s="6"/>
      <c r="U410" s="6"/>
      <c r="V410" s="6"/>
      <c r="W410" s="6"/>
      <c r="X410" s="6"/>
    </row>
    <row r="411" hidden="1">
      <c r="A411" s="6"/>
      <c r="B411" s="6"/>
      <c r="C411" s="6"/>
      <c r="D411" s="6"/>
      <c r="E411" s="6"/>
      <c r="F411" s="6"/>
      <c r="G411" s="6" t="str">
        <f>IFERROR(__xludf.DUMMYFUNCTION("""COMPUTED_VALUE"""),"")</f>
        <v/>
      </c>
      <c r="H411" s="6"/>
      <c r="I411" s="6"/>
      <c r="J411" s="6"/>
      <c r="K411" s="6"/>
      <c r="L411" s="6"/>
      <c r="M411" s="6"/>
      <c r="N411" s="6"/>
      <c r="O411" s="6"/>
      <c r="P411" s="6"/>
      <c r="Q411" s="6"/>
      <c r="R411" s="6"/>
      <c r="S411" s="6"/>
      <c r="T411" s="6"/>
      <c r="U411" s="6"/>
      <c r="V411" s="6"/>
      <c r="W411" s="6"/>
      <c r="X411" s="6"/>
    </row>
    <row r="412" hidden="1">
      <c r="A412" s="6"/>
      <c r="B412" s="6"/>
      <c r="C412" s="6"/>
      <c r="D412" s="6"/>
      <c r="E412" s="6"/>
      <c r="F412" s="6"/>
      <c r="G412" s="6" t="str">
        <f>IFERROR(__xludf.DUMMYFUNCTION("""COMPUTED_VALUE"""),"")</f>
        <v/>
      </c>
      <c r="H412" s="6"/>
      <c r="I412" s="6"/>
      <c r="J412" s="6"/>
      <c r="K412" s="6"/>
      <c r="L412" s="6"/>
      <c r="M412" s="6"/>
      <c r="N412" s="6"/>
      <c r="O412" s="6"/>
      <c r="P412" s="6"/>
      <c r="Q412" s="6"/>
      <c r="R412" s="6"/>
      <c r="S412" s="6"/>
      <c r="T412" s="6"/>
      <c r="U412" s="6"/>
      <c r="V412" s="6"/>
      <c r="W412" s="6"/>
      <c r="X412" s="6"/>
    </row>
    <row r="413" hidden="1">
      <c r="A413" s="6"/>
      <c r="B413" s="6"/>
      <c r="C413" s="6"/>
      <c r="D413" s="6"/>
      <c r="E413" s="6"/>
      <c r="F413" s="6"/>
      <c r="G413" s="6" t="str">
        <f>IFERROR(__xludf.DUMMYFUNCTION("""COMPUTED_VALUE"""),"")</f>
        <v/>
      </c>
      <c r="H413" s="6"/>
      <c r="I413" s="6"/>
      <c r="J413" s="6"/>
      <c r="K413" s="6"/>
      <c r="L413" s="6"/>
      <c r="M413" s="6"/>
      <c r="N413" s="6"/>
      <c r="O413" s="6"/>
      <c r="P413" s="6"/>
      <c r="Q413" s="6"/>
      <c r="R413" s="6"/>
      <c r="S413" s="6"/>
      <c r="T413" s="6"/>
      <c r="U413" s="6"/>
      <c r="V413" s="6"/>
      <c r="W413" s="6"/>
      <c r="X413" s="6"/>
    </row>
    <row r="414" hidden="1">
      <c r="A414" s="6"/>
      <c r="B414" s="6"/>
      <c r="C414" s="6"/>
      <c r="D414" s="6"/>
      <c r="E414" s="6"/>
      <c r="F414" s="6"/>
      <c r="G414" s="6" t="str">
        <f>IFERROR(__xludf.DUMMYFUNCTION("""COMPUTED_VALUE"""),"")</f>
        <v/>
      </c>
      <c r="H414" s="6"/>
      <c r="I414" s="6"/>
      <c r="J414" s="6"/>
      <c r="K414" s="6"/>
      <c r="L414" s="6"/>
      <c r="M414" s="6"/>
      <c r="N414" s="6"/>
      <c r="O414" s="6"/>
      <c r="P414" s="6"/>
      <c r="Q414" s="6"/>
      <c r="R414" s="6"/>
      <c r="S414" s="6"/>
      <c r="T414" s="6"/>
      <c r="U414" s="6"/>
      <c r="V414" s="6"/>
      <c r="W414" s="6"/>
      <c r="X414" s="6"/>
    </row>
    <row r="415" hidden="1">
      <c r="A415" s="6"/>
      <c r="B415" s="6"/>
      <c r="C415" s="6"/>
      <c r="D415" s="6"/>
      <c r="E415" s="6"/>
      <c r="F415" s="6"/>
      <c r="G415" s="6" t="str">
        <f>IFERROR(__xludf.DUMMYFUNCTION("""COMPUTED_VALUE"""),"")</f>
        <v/>
      </c>
      <c r="H415" s="6"/>
      <c r="I415" s="6"/>
      <c r="J415" s="6"/>
      <c r="K415" s="6"/>
      <c r="L415" s="6"/>
      <c r="M415" s="6"/>
      <c r="N415" s="6"/>
      <c r="O415" s="6"/>
      <c r="P415" s="6"/>
      <c r="Q415" s="6"/>
      <c r="R415" s="6"/>
      <c r="S415" s="6"/>
      <c r="T415" s="6"/>
      <c r="U415" s="6"/>
      <c r="V415" s="6"/>
      <c r="W415" s="6"/>
      <c r="X415" s="6"/>
    </row>
    <row r="416" hidden="1">
      <c r="A416" s="6"/>
      <c r="B416" s="6"/>
      <c r="C416" s="6"/>
      <c r="D416" s="6"/>
      <c r="E416" s="6"/>
      <c r="F416" s="6"/>
      <c r="G416" s="6" t="str">
        <f>IFERROR(__xludf.DUMMYFUNCTION("""COMPUTED_VALUE"""),"")</f>
        <v/>
      </c>
      <c r="H416" s="6"/>
      <c r="I416" s="6"/>
      <c r="J416" s="6"/>
      <c r="K416" s="6"/>
      <c r="L416" s="6"/>
      <c r="M416" s="6"/>
      <c r="N416" s="6"/>
      <c r="O416" s="6"/>
      <c r="P416" s="6"/>
      <c r="Q416" s="6"/>
      <c r="R416" s="6"/>
      <c r="S416" s="6"/>
      <c r="T416" s="6"/>
      <c r="U416" s="6"/>
      <c r="V416" s="6"/>
      <c r="W416" s="6"/>
      <c r="X416" s="6"/>
    </row>
    <row r="417" hidden="1">
      <c r="A417" s="6"/>
      <c r="B417" s="6"/>
      <c r="C417" s="6"/>
      <c r="D417" s="6"/>
      <c r="E417" s="6"/>
      <c r="F417" s="6"/>
      <c r="G417" s="6" t="str">
        <f>IFERROR(__xludf.DUMMYFUNCTION("""COMPUTED_VALUE"""),"")</f>
        <v/>
      </c>
      <c r="H417" s="6"/>
      <c r="I417" s="6"/>
      <c r="J417" s="6"/>
      <c r="K417" s="6"/>
      <c r="L417" s="6"/>
      <c r="M417" s="6"/>
      <c r="N417" s="6"/>
      <c r="O417" s="6"/>
      <c r="P417" s="6"/>
      <c r="Q417" s="6"/>
      <c r="R417" s="6"/>
      <c r="S417" s="6"/>
      <c r="T417" s="6"/>
      <c r="U417" s="6"/>
      <c r="V417" s="6"/>
      <c r="W417" s="6"/>
      <c r="X417" s="6"/>
    </row>
    <row r="418" hidden="1">
      <c r="A418" s="6"/>
      <c r="B418" s="6"/>
      <c r="C418" s="6"/>
      <c r="D418" s="6"/>
      <c r="E418" s="6"/>
      <c r="F418" s="6"/>
      <c r="G418" s="6" t="str">
        <f>IFERROR(__xludf.DUMMYFUNCTION("""COMPUTED_VALUE"""),"")</f>
        <v/>
      </c>
      <c r="H418" s="6"/>
      <c r="I418" s="6"/>
      <c r="J418" s="6"/>
      <c r="K418" s="6"/>
      <c r="L418" s="6"/>
      <c r="M418" s="6"/>
      <c r="N418" s="6"/>
      <c r="O418" s="6"/>
      <c r="P418" s="6"/>
      <c r="Q418" s="6"/>
      <c r="R418" s="6"/>
      <c r="S418" s="6"/>
      <c r="T418" s="6"/>
      <c r="U418" s="6"/>
      <c r="V418" s="6"/>
      <c r="W418" s="6"/>
      <c r="X418" s="6"/>
    </row>
    <row r="419" hidden="1">
      <c r="A419" s="6"/>
      <c r="B419" s="6"/>
      <c r="C419" s="6"/>
      <c r="D419" s="6"/>
      <c r="E419" s="6"/>
      <c r="F419" s="6"/>
      <c r="G419" s="6" t="str">
        <f>IFERROR(__xludf.DUMMYFUNCTION("""COMPUTED_VALUE"""),"")</f>
        <v/>
      </c>
      <c r="H419" s="6"/>
      <c r="I419" s="6"/>
      <c r="J419" s="6"/>
      <c r="K419" s="6"/>
      <c r="L419" s="6"/>
      <c r="M419" s="6"/>
      <c r="N419" s="6"/>
      <c r="O419" s="6"/>
      <c r="P419" s="6"/>
      <c r="Q419" s="6"/>
      <c r="R419" s="6"/>
      <c r="S419" s="6"/>
      <c r="T419" s="6"/>
      <c r="U419" s="6"/>
      <c r="V419" s="6"/>
      <c r="W419" s="6"/>
      <c r="X419" s="6"/>
    </row>
    <row r="420" hidden="1">
      <c r="A420" s="6"/>
      <c r="B420" s="6"/>
      <c r="C420" s="6"/>
      <c r="D420" s="6"/>
      <c r="E420" s="6"/>
      <c r="F420" s="6"/>
      <c r="G420" s="6" t="str">
        <f>IFERROR(__xludf.DUMMYFUNCTION("""COMPUTED_VALUE"""),"")</f>
        <v/>
      </c>
      <c r="H420" s="6"/>
      <c r="I420" s="6"/>
      <c r="J420" s="6"/>
      <c r="K420" s="6"/>
      <c r="L420" s="6"/>
      <c r="M420" s="6"/>
      <c r="N420" s="6"/>
      <c r="O420" s="6"/>
      <c r="P420" s="6"/>
      <c r="Q420" s="6"/>
      <c r="R420" s="6"/>
      <c r="S420" s="6"/>
      <c r="T420" s="6"/>
      <c r="U420" s="6"/>
      <c r="V420" s="6"/>
      <c r="W420" s="6"/>
      <c r="X420" s="6"/>
    </row>
    <row r="421" hidden="1">
      <c r="A421" s="6"/>
      <c r="B421" s="6"/>
      <c r="C421" s="6"/>
      <c r="D421" s="6"/>
      <c r="E421" s="6"/>
      <c r="F421" s="6"/>
      <c r="G421" s="6" t="str">
        <f>IFERROR(__xludf.DUMMYFUNCTION("""COMPUTED_VALUE"""),"")</f>
        <v/>
      </c>
      <c r="H421" s="6"/>
      <c r="I421" s="6"/>
      <c r="J421" s="6"/>
      <c r="K421" s="6"/>
      <c r="L421" s="6"/>
      <c r="M421" s="6"/>
      <c r="N421" s="6"/>
      <c r="O421" s="6"/>
      <c r="P421" s="6"/>
      <c r="Q421" s="6"/>
      <c r="R421" s="6"/>
      <c r="S421" s="6"/>
      <c r="T421" s="6"/>
      <c r="U421" s="6"/>
      <c r="V421" s="6"/>
      <c r="W421" s="6"/>
      <c r="X421" s="6"/>
    </row>
    <row r="422" hidden="1">
      <c r="A422" s="6"/>
      <c r="B422" s="6"/>
      <c r="C422" s="6"/>
      <c r="D422" s="6"/>
      <c r="E422" s="6"/>
      <c r="F422" s="6"/>
      <c r="G422" s="6" t="str">
        <f>IFERROR(__xludf.DUMMYFUNCTION("""COMPUTED_VALUE"""),"")</f>
        <v/>
      </c>
      <c r="H422" s="6"/>
      <c r="I422" s="6"/>
      <c r="J422" s="6"/>
      <c r="K422" s="6"/>
      <c r="L422" s="6"/>
      <c r="M422" s="6"/>
      <c r="N422" s="6"/>
      <c r="O422" s="6"/>
      <c r="P422" s="6"/>
      <c r="Q422" s="6"/>
      <c r="R422" s="6"/>
      <c r="S422" s="6"/>
      <c r="T422" s="6"/>
      <c r="U422" s="6"/>
      <c r="V422" s="6"/>
      <c r="W422" s="6"/>
      <c r="X422" s="6"/>
    </row>
    <row r="423" hidden="1">
      <c r="A423" s="6"/>
      <c r="B423" s="6"/>
      <c r="C423" s="6"/>
      <c r="D423" s="6"/>
      <c r="E423" s="6"/>
      <c r="F423" s="6"/>
      <c r="G423" s="6" t="str">
        <f>IFERROR(__xludf.DUMMYFUNCTION("""COMPUTED_VALUE"""),"")</f>
        <v/>
      </c>
      <c r="H423" s="6"/>
      <c r="I423" s="6"/>
      <c r="J423" s="6"/>
      <c r="K423" s="6"/>
      <c r="L423" s="6"/>
      <c r="M423" s="6"/>
      <c r="N423" s="6"/>
      <c r="O423" s="6"/>
      <c r="P423" s="6"/>
      <c r="Q423" s="6"/>
      <c r="R423" s="6"/>
      <c r="S423" s="6"/>
      <c r="T423" s="6"/>
      <c r="U423" s="6"/>
      <c r="V423" s="6"/>
      <c r="W423" s="6"/>
      <c r="X423" s="6"/>
    </row>
    <row r="424" hidden="1">
      <c r="A424" s="6"/>
      <c r="B424" s="6"/>
      <c r="C424" s="6"/>
      <c r="D424" s="6"/>
      <c r="E424" s="6"/>
      <c r="F424" s="6"/>
      <c r="G424" s="6" t="str">
        <f>IFERROR(__xludf.DUMMYFUNCTION("""COMPUTED_VALUE"""),"")</f>
        <v/>
      </c>
      <c r="H424" s="6"/>
      <c r="I424" s="6"/>
      <c r="J424" s="6"/>
      <c r="K424" s="6"/>
      <c r="L424" s="6"/>
      <c r="M424" s="6"/>
      <c r="N424" s="6"/>
      <c r="O424" s="6"/>
      <c r="P424" s="6"/>
      <c r="Q424" s="6"/>
      <c r="R424" s="6"/>
      <c r="S424" s="6"/>
      <c r="T424" s="6"/>
      <c r="U424" s="6"/>
      <c r="V424" s="6"/>
      <c r="W424" s="6"/>
      <c r="X424" s="6"/>
    </row>
    <row r="425" hidden="1">
      <c r="A425" s="6"/>
      <c r="B425" s="6"/>
      <c r="C425" s="6"/>
      <c r="D425" s="6"/>
      <c r="E425" s="6"/>
      <c r="F425" s="6"/>
      <c r="G425" s="6" t="str">
        <f>IFERROR(__xludf.DUMMYFUNCTION("""COMPUTED_VALUE"""),"")</f>
        <v/>
      </c>
      <c r="H425" s="6"/>
      <c r="I425" s="6"/>
      <c r="J425" s="6"/>
      <c r="K425" s="6"/>
      <c r="L425" s="6"/>
      <c r="M425" s="6"/>
      <c r="N425" s="6"/>
      <c r="O425" s="6"/>
      <c r="P425" s="6"/>
      <c r="Q425" s="6"/>
      <c r="R425" s="6"/>
      <c r="S425" s="6"/>
      <c r="T425" s="6"/>
      <c r="U425" s="6"/>
      <c r="V425" s="6"/>
      <c r="W425" s="6"/>
      <c r="X425" s="6"/>
    </row>
    <row r="426" hidden="1">
      <c r="A426" s="6"/>
      <c r="B426" s="6"/>
      <c r="C426" s="6"/>
      <c r="D426" s="6"/>
      <c r="E426" s="6"/>
      <c r="F426" s="6"/>
      <c r="G426" s="6" t="str">
        <f>IFERROR(__xludf.DUMMYFUNCTION("""COMPUTED_VALUE"""),"")</f>
        <v/>
      </c>
      <c r="H426" s="6"/>
      <c r="I426" s="6"/>
      <c r="J426" s="6"/>
      <c r="K426" s="6"/>
      <c r="L426" s="6"/>
      <c r="M426" s="6"/>
      <c r="N426" s="6"/>
      <c r="O426" s="6"/>
      <c r="P426" s="6"/>
      <c r="Q426" s="6"/>
      <c r="R426" s="6"/>
      <c r="S426" s="6"/>
      <c r="T426" s="6"/>
      <c r="U426" s="6"/>
      <c r="V426" s="6"/>
      <c r="W426" s="6"/>
      <c r="X426" s="6"/>
    </row>
    <row r="427" hidden="1">
      <c r="A427" s="6"/>
      <c r="B427" s="6"/>
      <c r="C427" s="6"/>
      <c r="D427" s="6"/>
      <c r="E427" s="6"/>
      <c r="F427" s="6"/>
      <c r="G427" s="6" t="str">
        <f>IFERROR(__xludf.DUMMYFUNCTION("""COMPUTED_VALUE"""),"")</f>
        <v/>
      </c>
      <c r="H427" s="6"/>
      <c r="I427" s="6"/>
      <c r="J427" s="6"/>
      <c r="K427" s="6"/>
      <c r="L427" s="6"/>
      <c r="M427" s="6"/>
      <c r="N427" s="6"/>
      <c r="O427" s="6"/>
      <c r="P427" s="6"/>
      <c r="Q427" s="6"/>
      <c r="R427" s="6"/>
      <c r="S427" s="6"/>
      <c r="T427" s="6"/>
      <c r="U427" s="6"/>
      <c r="V427" s="6"/>
      <c r="W427" s="6"/>
      <c r="X427" s="6"/>
    </row>
    <row r="428" hidden="1">
      <c r="A428" s="6"/>
      <c r="B428" s="6"/>
      <c r="C428" s="6"/>
      <c r="D428" s="6"/>
      <c r="E428" s="6"/>
      <c r="F428" s="6"/>
      <c r="G428" s="6" t="str">
        <f>IFERROR(__xludf.DUMMYFUNCTION("""COMPUTED_VALUE"""),"")</f>
        <v/>
      </c>
      <c r="H428" s="6"/>
      <c r="I428" s="6"/>
      <c r="J428" s="6"/>
      <c r="K428" s="6"/>
      <c r="L428" s="6"/>
      <c r="M428" s="6"/>
      <c r="N428" s="6"/>
      <c r="O428" s="6"/>
      <c r="P428" s="6"/>
      <c r="Q428" s="6"/>
      <c r="R428" s="6"/>
      <c r="S428" s="6"/>
      <c r="T428" s="6"/>
      <c r="U428" s="6"/>
      <c r="V428" s="6"/>
      <c r="W428" s="6"/>
      <c r="X428" s="6"/>
    </row>
    <row r="429" hidden="1">
      <c r="A429" s="6"/>
      <c r="B429" s="6"/>
      <c r="C429" s="6"/>
      <c r="D429" s="6"/>
      <c r="E429" s="6"/>
      <c r="F429" s="6"/>
      <c r="G429" s="6" t="str">
        <f>IFERROR(__xludf.DUMMYFUNCTION("""COMPUTED_VALUE"""),"")</f>
        <v/>
      </c>
      <c r="H429" s="6"/>
      <c r="I429" s="6"/>
      <c r="J429" s="6"/>
      <c r="K429" s="6"/>
      <c r="L429" s="6"/>
      <c r="M429" s="6"/>
      <c r="N429" s="6"/>
      <c r="O429" s="6"/>
      <c r="P429" s="6"/>
      <c r="Q429" s="6"/>
      <c r="R429" s="6"/>
      <c r="S429" s="6"/>
      <c r="T429" s="6"/>
      <c r="U429" s="6"/>
      <c r="V429" s="6"/>
      <c r="W429" s="6"/>
      <c r="X429" s="6"/>
    </row>
    <row r="430" hidden="1">
      <c r="A430" s="6"/>
      <c r="B430" s="6"/>
      <c r="C430" s="6"/>
      <c r="D430" s="6"/>
      <c r="E430" s="6"/>
      <c r="F430" s="6"/>
      <c r="G430" s="6" t="str">
        <f>IFERROR(__xludf.DUMMYFUNCTION("""COMPUTED_VALUE"""),"")</f>
        <v/>
      </c>
      <c r="H430" s="6"/>
      <c r="I430" s="6"/>
      <c r="J430" s="6"/>
      <c r="K430" s="6"/>
      <c r="L430" s="6"/>
      <c r="M430" s="6"/>
      <c r="N430" s="6"/>
      <c r="O430" s="6"/>
      <c r="P430" s="6"/>
      <c r="Q430" s="6"/>
      <c r="R430" s="6"/>
      <c r="S430" s="6"/>
      <c r="T430" s="6"/>
      <c r="U430" s="6"/>
      <c r="V430" s="6"/>
      <c r="W430" s="6"/>
      <c r="X430" s="6"/>
    </row>
    <row r="431" hidden="1">
      <c r="A431" s="6"/>
      <c r="B431" s="6"/>
      <c r="C431" s="6"/>
      <c r="D431" s="6"/>
      <c r="E431" s="6"/>
      <c r="F431" s="6"/>
      <c r="G431" s="6" t="str">
        <f>IFERROR(__xludf.DUMMYFUNCTION("""COMPUTED_VALUE"""),"")</f>
        <v/>
      </c>
      <c r="H431" s="6"/>
      <c r="I431" s="6"/>
      <c r="J431" s="6"/>
      <c r="K431" s="6"/>
      <c r="L431" s="6"/>
      <c r="M431" s="6"/>
      <c r="N431" s="6"/>
      <c r="O431" s="6"/>
      <c r="P431" s="6"/>
      <c r="Q431" s="6"/>
      <c r="R431" s="6"/>
      <c r="S431" s="6"/>
      <c r="T431" s="6"/>
      <c r="U431" s="6"/>
      <c r="V431" s="6"/>
      <c r="W431" s="6"/>
      <c r="X431" s="6"/>
    </row>
    <row r="432" hidden="1">
      <c r="A432" s="6"/>
      <c r="B432" s="6"/>
      <c r="C432" s="6"/>
      <c r="D432" s="6"/>
      <c r="E432" s="6"/>
      <c r="F432" s="6"/>
      <c r="G432" s="6" t="str">
        <f>IFERROR(__xludf.DUMMYFUNCTION("""COMPUTED_VALUE"""),"")</f>
        <v/>
      </c>
      <c r="H432" s="6"/>
      <c r="I432" s="6"/>
      <c r="J432" s="6"/>
      <c r="K432" s="6"/>
      <c r="L432" s="6"/>
      <c r="M432" s="6"/>
      <c r="N432" s="6"/>
      <c r="O432" s="6"/>
      <c r="P432" s="6"/>
      <c r="Q432" s="6"/>
      <c r="R432" s="6"/>
      <c r="S432" s="6"/>
      <c r="T432" s="6"/>
      <c r="U432" s="6"/>
      <c r="V432" s="6"/>
      <c r="W432" s="6"/>
      <c r="X432" s="6"/>
    </row>
    <row r="433" hidden="1">
      <c r="A433" s="6"/>
      <c r="B433" s="6"/>
      <c r="C433" s="6"/>
      <c r="D433" s="6"/>
      <c r="E433" s="6"/>
      <c r="F433" s="6"/>
      <c r="G433" s="6" t="str">
        <f>IFERROR(__xludf.DUMMYFUNCTION("""COMPUTED_VALUE"""),"")</f>
        <v/>
      </c>
      <c r="H433" s="6"/>
      <c r="I433" s="6"/>
      <c r="J433" s="6"/>
      <c r="K433" s="6"/>
      <c r="L433" s="6"/>
      <c r="M433" s="6"/>
      <c r="N433" s="6"/>
      <c r="O433" s="6"/>
      <c r="P433" s="6"/>
      <c r="Q433" s="6"/>
      <c r="R433" s="6"/>
      <c r="S433" s="6"/>
      <c r="T433" s="6"/>
      <c r="U433" s="6"/>
      <c r="V433" s="6"/>
      <c r="W433" s="6"/>
      <c r="X433" s="6"/>
    </row>
    <row r="434" hidden="1">
      <c r="A434" s="6"/>
      <c r="B434" s="6"/>
      <c r="C434" s="6"/>
      <c r="D434" s="6"/>
      <c r="E434" s="6"/>
      <c r="F434" s="6"/>
      <c r="G434" s="6" t="str">
        <f>IFERROR(__xludf.DUMMYFUNCTION("""COMPUTED_VALUE"""),"")</f>
        <v/>
      </c>
      <c r="H434" s="6"/>
      <c r="I434" s="6"/>
      <c r="J434" s="6"/>
      <c r="K434" s="6"/>
      <c r="L434" s="6"/>
      <c r="M434" s="6"/>
      <c r="N434" s="6"/>
      <c r="O434" s="6"/>
      <c r="P434" s="6"/>
      <c r="Q434" s="6"/>
      <c r="R434" s="6"/>
      <c r="S434" s="6"/>
      <c r="T434" s="6"/>
      <c r="U434" s="6"/>
      <c r="V434" s="6"/>
      <c r="W434" s="6"/>
      <c r="X434" s="6"/>
    </row>
    <row r="435" hidden="1">
      <c r="A435" s="6"/>
      <c r="B435" s="6"/>
      <c r="C435" s="6"/>
      <c r="D435" s="6"/>
      <c r="E435" s="6"/>
      <c r="F435" s="6"/>
      <c r="G435" s="6" t="str">
        <f>IFERROR(__xludf.DUMMYFUNCTION("""COMPUTED_VALUE"""),"")</f>
        <v/>
      </c>
      <c r="H435" s="6"/>
      <c r="I435" s="6"/>
      <c r="J435" s="6"/>
      <c r="K435" s="6"/>
      <c r="L435" s="6"/>
      <c r="M435" s="6"/>
      <c r="N435" s="6"/>
      <c r="O435" s="6"/>
      <c r="P435" s="6"/>
      <c r="Q435" s="6"/>
      <c r="R435" s="6"/>
      <c r="S435" s="6"/>
      <c r="T435" s="6"/>
      <c r="U435" s="6"/>
      <c r="V435" s="6"/>
      <c r="W435" s="6"/>
      <c r="X435" s="6"/>
    </row>
    <row r="436" hidden="1">
      <c r="A436" s="6"/>
      <c r="B436" s="6"/>
      <c r="C436" s="6"/>
      <c r="D436" s="6"/>
      <c r="E436" s="6"/>
      <c r="F436" s="6"/>
      <c r="G436" s="6" t="str">
        <f>IFERROR(__xludf.DUMMYFUNCTION("""COMPUTED_VALUE"""),"")</f>
        <v/>
      </c>
      <c r="H436" s="6"/>
      <c r="I436" s="6"/>
      <c r="J436" s="6"/>
      <c r="K436" s="6"/>
      <c r="L436" s="6"/>
      <c r="M436" s="6"/>
      <c r="N436" s="6"/>
      <c r="O436" s="6"/>
      <c r="P436" s="6"/>
      <c r="Q436" s="6"/>
      <c r="R436" s="6"/>
      <c r="S436" s="6"/>
      <c r="T436" s="6"/>
      <c r="U436" s="6"/>
      <c r="V436" s="6"/>
      <c r="W436" s="6"/>
      <c r="X436" s="6"/>
    </row>
    <row r="437" hidden="1">
      <c r="A437" s="6"/>
      <c r="B437" s="6"/>
      <c r="C437" s="6"/>
      <c r="D437" s="6"/>
      <c r="E437" s="6"/>
      <c r="F437" s="6"/>
      <c r="G437" s="6" t="str">
        <f>IFERROR(__xludf.DUMMYFUNCTION("""COMPUTED_VALUE"""),"")</f>
        <v/>
      </c>
      <c r="H437" s="6"/>
      <c r="I437" s="6"/>
      <c r="J437" s="6"/>
      <c r="K437" s="6"/>
      <c r="L437" s="6"/>
      <c r="M437" s="6"/>
      <c r="N437" s="6"/>
      <c r="O437" s="6"/>
      <c r="P437" s="6"/>
      <c r="Q437" s="6"/>
      <c r="R437" s="6"/>
      <c r="S437" s="6"/>
      <c r="T437" s="6"/>
      <c r="U437" s="6"/>
      <c r="V437" s="6"/>
      <c r="W437" s="6"/>
      <c r="X437" s="6"/>
    </row>
    <row r="438" hidden="1">
      <c r="A438" s="6"/>
      <c r="B438" s="6"/>
      <c r="C438" s="6"/>
      <c r="D438" s="6"/>
      <c r="E438" s="6"/>
      <c r="F438" s="6"/>
      <c r="G438" s="6" t="str">
        <f>IFERROR(__xludf.DUMMYFUNCTION("""COMPUTED_VALUE"""),"")</f>
        <v/>
      </c>
      <c r="H438" s="6"/>
      <c r="I438" s="6"/>
      <c r="J438" s="6"/>
      <c r="K438" s="6"/>
      <c r="L438" s="6"/>
      <c r="M438" s="6"/>
      <c r="N438" s="6"/>
      <c r="O438" s="6"/>
      <c r="P438" s="6"/>
      <c r="Q438" s="6"/>
      <c r="R438" s="6"/>
      <c r="S438" s="6"/>
      <c r="T438" s="6"/>
      <c r="U438" s="6"/>
      <c r="V438" s="6"/>
      <c r="W438" s="6"/>
      <c r="X438" s="6"/>
    </row>
    <row r="439" hidden="1">
      <c r="A439" s="6"/>
      <c r="B439" s="6"/>
      <c r="C439" s="6"/>
      <c r="D439" s="6"/>
      <c r="E439" s="6"/>
      <c r="F439" s="6"/>
      <c r="G439" s="6" t="str">
        <f>IFERROR(__xludf.DUMMYFUNCTION("""COMPUTED_VALUE"""),"")</f>
        <v/>
      </c>
      <c r="H439" s="6"/>
      <c r="I439" s="6"/>
      <c r="J439" s="6"/>
      <c r="K439" s="6"/>
      <c r="L439" s="6"/>
      <c r="M439" s="6"/>
      <c r="N439" s="6"/>
      <c r="O439" s="6"/>
      <c r="P439" s="6"/>
      <c r="Q439" s="6"/>
      <c r="R439" s="6"/>
      <c r="S439" s="6"/>
      <c r="T439" s="6"/>
      <c r="U439" s="6"/>
      <c r="V439" s="6"/>
      <c r="W439" s="6"/>
      <c r="X439" s="6"/>
    </row>
    <row r="440" hidden="1">
      <c r="A440" s="6"/>
      <c r="B440" s="6"/>
      <c r="C440" s="6"/>
      <c r="D440" s="6"/>
      <c r="E440" s="6"/>
      <c r="F440" s="6"/>
      <c r="G440" s="6" t="str">
        <f>IFERROR(__xludf.DUMMYFUNCTION("""COMPUTED_VALUE"""),"")</f>
        <v/>
      </c>
      <c r="H440" s="6"/>
      <c r="I440" s="6"/>
      <c r="J440" s="6"/>
      <c r="K440" s="6"/>
      <c r="L440" s="6"/>
      <c r="M440" s="6"/>
      <c r="N440" s="6"/>
      <c r="O440" s="6"/>
      <c r="P440" s="6"/>
      <c r="Q440" s="6"/>
      <c r="R440" s="6"/>
      <c r="S440" s="6"/>
      <c r="T440" s="6"/>
      <c r="U440" s="6"/>
      <c r="V440" s="6"/>
      <c r="W440" s="6"/>
      <c r="X440" s="6"/>
    </row>
    <row r="441" hidden="1">
      <c r="A441" s="6"/>
      <c r="B441" s="6"/>
      <c r="C441" s="6"/>
      <c r="D441" s="6"/>
      <c r="E441" s="6"/>
      <c r="F441" s="6"/>
      <c r="G441" s="6" t="str">
        <f>IFERROR(__xludf.DUMMYFUNCTION("""COMPUTED_VALUE"""),"")</f>
        <v/>
      </c>
      <c r="H441" s="6"/>
      <c r="I441" s="6"/>
      <c r="J441" s="6"/>
      <c r="K441" s="6"/>
      <c r="L441" s="6"/>
      <c r="M441" s="6"/>
      <c r="N441" s="6"/>
      <c r="O441" s="6"/>
      <c r="P441" s="6"/>
      <c r="Q441" s="6"/>
      <c r="R441" s="6"/>
      <c r="S441" s="6"/>
      <c r="T441" s="6"/>
      <c r="U441" s="6"/>
      <c r="V441" s="6"/>
      <c r="W441" s="6"/>
      <c r="X441" s="6"/>
    </row>
    <row r="442" hidden="1">
      <c r="A442" s="6"/>
      <c r="B442" s="6"/>
      <c r="C442" s="6"/>
      <c r="D442" s="6"/>
      <c r="E442" s="6"/>
      <c r="F442" s="6"/>
      <c r="G442" s="6" t="str">
        <f>IFERROR(__xludf.DUMMYFUNCTION("""COMPUTED_VALUE"""),"")</f>
        <v/>
      </c>
      <c r="H442" s="6"/>
      <c r="I442" s="6"/>
      <c r="J442" s="6"/>
      <c r="K442" s="6"/>
      <c r="L442" s="6"/>
      <c r="M442" s="6"/>
      <c r="N442" s="6"/>
      <c r="O442" s="6"/>
      <c r="P442" s="6"/>
      <c r="Q442" s="6"/>
      <c r="R442" s="6"/>
      <c r="S442" s="6"/>
      <c r="T442" s="6"/>
      <c r="U442" s="6"/>
      <c r="V442" s="6"/>
      <c r="W442" s="6"/>
      <c r="X442" s="6"/>
    </row>
    <row r="443" hidden="1">
      <c r="A443" s="6"/>
      <c r="B443" s="6"/>
      <c r="C443" s="6"/>
      <c r="D443" s="6"/>
      <c r="E443" s="6"/>
      <c r="F443" s="6"/>
      <c r="G443" s="6" t="str">
        <f>IFERROR(__xludf.DUMMYFUNCTION("""COMPUTED_VALUE"""),"")</f>
        <v/>
      </c>
      <c r="H443" s="6"/>
      <c r="I443" s="6"/>
      <c r="J443" s="6"/>
      <c r="K443" s="6"/>
      <c r="L443" s="6"/>
      <c r="M443" s="6"/>
      <c r="N443" s="6"/>
      <c r="O443" s="6"/>
      <c r="P443" s="6"/>
      <c r="Q443" s="6"/>
      <c r="R443" s="6"/>
      <c r="S443" s="6"/>
      <c r="T443" s="6"/>
      <c r="U443" s="6"/>
      <c r="V443" s="6"/>
      <c r="W443" s="6"/>
      <c r="X443" s="6"/>
    </row>
    <row r="444" hidden="1">
      <c r="A444" s="6"/>
      <c r="B444" s="6"/>
      <c r="C444" s="6"/>
      <c r="D444" s="6"/>
      <c r="E444" s="6"/>
      <c r="F444" s="6"/>
      <c r="G444" s="6" t="str">
        <f>IFERROR(__xludf.DUMMYFUNCTION("""COMPUTED_VALUE"""),"")</f>
        <v/>
      </c>
      <c r="H444" s="6"/>
      <c r="I444" s="6"/>
      <c r="J444" s="6"/>
      <c r="K444" s="6"/>
      <c r="L444" s="6"/>
      <c r="M444" s="6"/>
      <c r="N444" s="6"/>
      <c r="O444" s="6"/>
      <c r="P444" s="6"/>
      <c r="Q444" s="6"/>
      <c r="R444" s="6"/>
      <c r="S444" s="6"/>
      <c r="T444" s="6"/>
      <c r="U444" s="6"/>
      <c r="V444" s="6"/>
      <c r="W444" s="6"/>
      <c r="X444" s="6"/>
    </row>
    <row r="445" hidden="1">
      <c r="A445" s="6"/>
      <c r="B445" s="6"/>
      <c r="C445" s="6"/>
      <c r="D445" s="6"/>
      <c r="E445" s="6"/>
      <c r="F445" s="6"/>
      <c r="G445" s="6" t="str">
        <f>IFERROR(__xludf.DUMMYFUNCTION("""COMPUTED_VALUE"""),"")</f>
        <v/>
      </c>
      <c r="H445" s="6"/>
      <c r="I445" s="6"/>
      <c r="J445" s="6"/>
      <c r="K445" s="6"/>
      <c r="L445" s="6"/>
      <c r="M445" s="6"/>
      <c r="N445" s="6"/>
      <c r="O445" s="6"/>
      <c r="P445" s="6"/>
      <c r="Q445" s="6"/>
      <c r="R445" s="6"/>
      <c r="S445" s="6"/>
      <c r="T445" s="6"/>
      <c r="U445" s="6"/>
      <c r="V445" s="6"/>
      <c r="W445" s="6"/>
      <c r="X445" s="6"/>
    </row>
    <row r="446" hidden="1">
      <c r="A446" s="6"/>
      <c r="B446" s="6"/>
      <c r="C446" s="6"/>
      <c r="D446" s="6"/>
      <c r="E446" s="6"/>
      <c r="F446" s="6"/>
      <c r="G446" s="6" t="str">
        <f>IFERROR(__xludf.DUMMYFUNCTION("""COMPUTED_VALUE"""),"")</f>
        <v/>
      </c>
      <c r="H446" s="6"/>
      <c r="I446" s="6"/>
      <c r="J446" s="6"/>
      <c r="K446" s="6"/>
      <c r="L446" s="6"/>
      <c r="M446" s="6"/>
      <c r="N446" s="6"/>
      <c r="O446" s="6"/>
      <c r="P446" s="6"/>
      <c r="Q446" s="6"/>
      <c r="R446" s="6"/>
      <c r="S446" s="6"/>
      <c r="T446" s="6"/>
      <c r="U446" s="6"/>
      <c r="V446" s="6"/>
      <c r="W446" s="6"/>
      <c r="X446" s="6"/>
    </row>
    <row r="447" hidden="1">
      <c r="A447" s="6"/>
      <c r="B447" s="6"/>
      <c r="C447" s="6"/>
      <c r="D447" s="6"/>
      <c r="E447" s="6"/>
      <c r="F447" s="6"/>
      <c r="G447" s="6" t="str">
        <f>IFERROR(__xludf.DUMMYFUNCTION("""COMPUTED_VALUE"""),"")</f>
        <v/>
      </c>
      <c r="H447" s="6"/>
      <c r="I447" s="6"/>
      <c r="J447" s="6"/>
      <c r="K447" s="6"/>
      <c r="L447" s="6"/>
      <c r="M447" s="6"/>
      <c r="N447" s="6"/>
      <c r="O447" s="6"/>
      <c r="P447" s="6"/>
      <c r="Q447" s="6"/>
      <c r="R447" s="6"/>
      <c r="S447" s="6"/>
      <c r="T447" s="6"/>
      <c r="U447" s="6"/>
      <c r="V447" s="6"/>
      <c r="W447" s="6"/>
      <c r="X447" s="6"/>
    </row>
    <row r="448" hidden="1">
      <c r="A448" s="6"/>
      <c r="B448" s="6"/>
      <c r="C448" s="6"/>
      <c r="D448" s="6"/>
      <c r="E448" s="6"/>
      <c r="F448" s="6"/>
      <c r="G448" s="6" t="str">
        <f>IFERROR(__xludf.DUMMYFUNCTION("""COMPUTED_VALUE"""),"")</f>
        <v/>
      </c>
      <c r="H448" s="6"/>
      <c r="I448" s="6"/>
      <c r="J448" s="6"/>
      <c r="K448" s="6"/>
      <c r="L448" s="6"/>
      <c r="M448" s="6"/>
      <c r="N448" s="6"/>
      <c r="O448" s="6"/>
      <c r="P448" s="6"/>
      <c r="Q448" s="6"/>
      <c r="R448" s="6"/>
      <c r="S448" s="6"/>
      <c r="T448" s="6"/>
      <c r="U448" s="6"/>
      <c r="V448" s="6"/>
      <c r="W448" s="6"/>
      <c r="X448" s="6"/>
    </row>
    <row r="449" hidden="1">
      <c r="A449" s="6"/>
      <c r="B449" s="6"/>
      <c r="C449" s="6"/>
      <c r="D449" s="6"/>
      <c r="E449" s="6"/>
      <c r="F449" s="6"/>
      <c r="G449" s="6" t="str">
        <f>IFERROR(__xludf.DUMMYFUNCTION("""COMPUTED_VALUE"""),"")</f>
        <v/>
      </c>
      <c r="H449" s="6"/>
      <c r="I449" s="6"/>
      <c r="J449" s="6"/>
      <c r="K449" s="6"/>
      <c r="L449" s="6"/>
      <c r="M449" s="6"/>
      <c r="N449" s="6"/>
      <c r="O449" s="6"/>
      <c r="P449" s="6"/>
      <c r="Q449" s="6"/>
      <c r="R449" s="6"/>
      <c r="S449" s="6"/>
      <c r="T449" s="6"/>
      <c r="U449" s="6"/>
      <c r="V449" s="6"/>
      <c r="W449" s="6"/>
      <c r="X449" s="6"/>
    </row>
    <row r="450" hidden="1">
      <c r="A450" s="6"/>
      <c r="B450" s="6"/>
      <c r="C450" s="6"/>
      <c r="D450" s="6"/>
      <c r="E450" s="6"/>
      <c r="F450" s="6"/>
      <c r="G450" s="6" t="str">
        <f>IFERROR(__xludf.DUMMYFUNCTION("""COMPUTED_VALUE"""),"")</f>
        <v/>
      </c>
      <c r="H450" s="6"/>
      <c r="I450" s="6"/>
      <c r="J450" s="6"/>
      <c r="K450" s="6"/>
      <c r="L450" s="6"/>
      <c r="M450" s="6"/>
      <c r="N450" s="6"/>
      <c r="O450" s="6"/>
      <c r="P450" s="6"/>
      <c r="Q450" s="6"/>
      <c r="R450" s="6"/>
      <c r="S450" s="6"/>
      <c r="T450" s="6"/>
      <c r="U450" s="6"/>
      <c r="V450" s="6"/>
      <c r="W450" s="6"/>
      <c r="X450" s="6"/>
    </row>
    <row r="451" hidden="1">
      <c r="A451" s="6"/>
      <c r="B451" s="6"/>
      <c r="C451" s="6"/>
      <c r="D451" s="6"/>
      <c r="E451" s="6"/>
      <c r="F451" s="6"/>
      <c r="G451" s="6" t="str">
        <f>IFERROR(__xludf.DUMMYFUNCTION("""COMPUTED_VALUE"""),"")</f>
        <v/>
      </c>
      <c r="H451" s="6"/>
      <c r="I451" s="6"/>
      <c r="J451" s="6"/>
      <c r="K451" s="6"/>
      <c r="L451" s="6"/>
      <c r="M451" s="6"/>
      <c r="N451" s="6"/>
      <c r="O451" s="6"/>
      <c r="P451" s="6"/>
      <c r="Q451" s="6"/>
      <c r="R451" s="6"/>
      <c r="S451" s="6"/>
      <c r="T451" s="6"/>
      <c r="U451" s="6"/>
      <c r="V451" s="6"/>
      <c r="W451" s="6"/>
      <c r="X451" s="6"/>
    </row>
    <row r="452" hidden="1">
      <c r="A452" s="6"/>
      <c r="B452" s="6"/>
      <c r="C452" s="6"/>
      <c r="D452" s="6"/>
      <c r="E452" s="6"/>
      <c r="F452" s="6"/>
      <c r="G452" s="6" t="str">
        <f>IFERROR(__xludf.DUMMYFUNCTION("""COMPUTED_VALUE"""),"")</f>
        <v/>
      </c>
      <c r="H452" s="6"/>
      <c r="I452" s="6"/>
      <c r="J452" s="6"/>
      <c r="K452" s="6"/>
      <c r="L452" s="6"/>
      <c r="M452" s="6"/>
      <c r="N452" s="6"/>
      <c r="O452" s="6"/>
      <c r="P452" s="6"/>
      <c r="Q452" s="6"/>
      <c r="R452" s="6"/>
      <c r="S452" s="6"/>
      <c r="T452" s="6"/>
      <c r="U452" s="6"/>
      <c r="V452" s="6"/>
      <c r="W452" s="6"/>
      <c r="X452" s="6"/>
    </row>
    <row r="453" hidden="1">
      <c r="A453" s="6"/>
      <c r="B453" s="6"/>
      <c r="C453" s="6"/>
      <c r="D453" s="6"/>
      <c r="E453" s="6"/>
      <c r="F453" s="6"/>
      <c r="G453" s="6" t="str">
        <f>IFERROR(__xludf.DUMMYFUNCTION("""COMPUTED_VALUE"""),"")</f>
        <v/>
      </c>
      <c r="H453" s="6"/>
      <c r="I453" s="6"/>
      <c r="J453" s="6"/>
      <c r="K453" s="6"/>
      <c r="L453" s="6"/>
      <c r="M453" s="6"/>
      <c r="N453" s="6"/>
      <c r="O453" s="6"/>
      <c r="P453" s="6"/>
      <c r="Q453" s="6"/>
      <c r="R453" s="6"/>
      <c r="S453" s="6"/>
      <c r="T453" s="6"/>
      <c r="U453" s="6"/>
      <c r="V453" s="6"/>
      <c r="W453" s="6"/>
      <c r="X453" s="6"/>
    </row>
    <row r="454" hidden="1">
      <c r="A454" s="6"/>
      <c r="B454" s="6"/>
      <c r="C454" s="6"/>
      <c r="D454" s="6"/>
      <c r="E454" s="6"/>
      <c r="F454" s="6"/>
      <c r="G454" s="6" t="str">
        <f>IFERROR(__xludf.DUMMYFUNCTION("""COMPUTED_VALUE"""),"")</f>
        <v/>
      </c>
      <c r="H454" s="6"/>
      <c r="I454" s="6"/>
      <c r="J454" s="6"/>
      <c r="K454" s="6"/>
      <c r="L454" s="6"/>
      <c r="M454" s="6"/>
      <c r="N454" s="6"/>
      <c r="O454" s="6"/>
      <c r="P454" s="6"/>
      <c r="Q454" s="6"/>
      <c r="R454" s="6"/>
      <c r="S454" s="6"/>
      <c r="T454" s="6"/>
      <c r="U454" s="6"/>
      <c r="V454" s="6"/>
      <c r="W454" s="6"/>
      <c r="X454" s="6"/>
    </row>
    <row r="455" hidden="1">
      <c r="A455" s="6"/>
      <c r="B455" s="6"/>
      <c r="C455" s="6"/>
      <c r="D455" s="6"/>
      <c r="E455" s="6"/>
      <c r="F455" s="6"/>
      <c r="G455" s="6" t="str">
        <f>IFERROR(__xludf.DUMMYFUNCTION("""COMPUTED_VALUE"""),"")</f>
        <v/>
      </c>
      <c r="H455" s="6"/>
      <c r="I455" s="6"/>
      <c r="J455" s="6"/>
      <c r="K455" s="6"/>
      <c r="L455" s="6"/>
      <c r="M455" s="6"/>
      <c r="N455" s="6"/>
      <c r="O455" s="6"/>
      <c r="P455" s="6"/>
      <c r="Q455" s="6"/>
      <c r="R455" s="6"/>
      <c r="S455" s="6"/>
      <c r="T455" s="6"/>
      <c r="U455" s="6"/>
      <c r="V455" s="6"/>
      <c r="W455" s="6"/>
      <c r="X455" s="6"/>
    </row>
    <row r="456" hidden="1">
      <c r="A456" s="6"/>
      <c r="B456" s="6"/>
      <c r="C456" s="6"/>
      <c r="D456" s="6"/>
      <c r="E456" s="6"/>
      <c r="F456" s="6"/>
      <c r="G456" s="6" t="str">
        <f>IFERROR(__xludf.DUMMYFUNCTION("""COMPUTED_VALUE"""),"")</f>
        <v/>
      </c>
      <c r="H456" s="6"/>
      <c r="I456" s="6"/>
      <c r="J456" s="6"/>
      <c r="K456" s="6"/>
      <c r="L456" s="6"/>
      <c r="M456" s="6"/>
      <c r="N456" s="6"/>
      <c r="O456" s="6"/>
      <c r="P456" s="6"/>
      <c r="Q456" s="6"/>
      <c r="R456" s="6"/>
      <c r="S456" s="6"/>
      <c r="T456" s="6"/>
      <c r="U456" s="6"/>
      <c r="V456" s="6"/>
      <c r="W456" s="6"/>
      <c r="X456" s="6"/>
    </row>
    <row r="457" hidden="1">
      <c r="A457" s="6"/>
      <c r="B457" s="6"/>
      <c r="C457" s="6"/>
      <c r="D457" s="6"/>
      <c r="E457" s="6"/>
      <c r="F457" s="6"/>
      <c r="G457" s="6" t="str">
        <f>IFERROR(__xludf.DUMMYFUNCTION("""COMPUTED_VALUE"""),"")</f>
        <v/>
      </c>
      <c r="H457" s="6"/>
      <c r="I457" s="6"/>
      <c r="J457" s="6"/>
      <c r="K457" s="6"/>
      <c r="L457" s="6"/>
      <c r="M457" s="6"/>
      <c r="N457" s="6"/>
      <c r="O457" s="6"/>
      <c r="P457" s="6"/>
      <c r="Q457" s="6"/>
      <c r="R457" s="6"/>
      <c r="S457" s="6"/>
      <c r="T457" s="6"/>
      <c r="U457" s="6"/>
      <c r="V457" s="6"/>
      <c r="W457" s="6"/>
      <c r="X457" s="6"/>
    </row>
    <row r="458" hidden="1">
      <c r="A458" s="6"/>
      <c r="B458" s="6"/>
      <c r="C458" s="6"/>
      <c r="D458" s="6"/>
      <c r="E458" s="6"/>
      <c r="F458" s="6"/>
      <c r="G458" s="6" t="str">
        <f>IFERROR(__xludf.DUMMYFUNCTION("""COMPUTED_VALUE"""),"")</f>
        <v/>
      </c>
      <c r="H458" s="6"/>
      <c r="I458" s="6"/>
      <c r="J458" s="6"/>
      <c r="K458" s="6"/>
      <c r="L458" s="6"/>
      <c r="M458" s="6"/>
      <c r="N458" s="6"/>
      <c r="O458" s="6"/>
      <c r="P458" s="6"/>
      <c r="Q458" s="6"/>
      <c r="R458" s="6"/>
      <c r="S458" s="6"/>
      <c r="T458" s="6"/>
      <c r="U458" s="6"/>
      <c r="V458" s="6"/>
      <c r="W458" s="6"/>
      <c r="X458" s="6"/>
    </row>
    <row r="459" hidden="1">
      <c r="A459" s="6"/>
      <c r="B459" s="6"/>
      <c r="C459" s="6"/>
      <c r="D459" s="6"/>
      <c r="E459" s="6"/>
      <c r="F459" s="6"/>
      <c r="G459" s="6" t="str">
        <f>IFERROR(__xludf.DUMMYFUNCTION("""COMPUTED_VALUE"""),"")</f>
        <v/>
      </c>
      <c r="H459" s="6"/>
      <c r="I459" s="6"/>
      <c r="J459" s="6"/>
      <c r="K459" s="6"/>
      <c r="L459" s="6"/>
      <c r="M459" s="6"/>
      <c r="N459" s="6"/>
      <c r="O459" s="6"/>
      <c r="P459" s="6"/>
      <c r="Q459" s="6"/>
      <c r="R459" s="6"/>
      <c r="S459" s="6"/>
      <c r="T459" s="6"/>
      <c r="U459" s="6"/>
      <c r="V459" s="6"/>
      <c r="W459" s="6"/>
      <c r="X459" s="6"/>
    </row>
    <row r="460" hidden="1">
      <c r="A460" s="6"/>
      <c r="B460" s="6"/>
      <c r="C460" s="6"/>
      <c r="D460" s="6"/>
      <c r="E460" s="6"/>
      <c r="F460" s="6"/>
      <c r="G460" s="6" t="str">
        <f>IFERROR(__xludf.DUMMYFUNCTION("""COMPUTED_VALUE"""),"")</f>
        <v/>
      </c>
      <c r="H460" s="6"/>
      <c r="I460" s="6"/>
      <c r="J460" s="6"/>
      <c r="K460" s="6"/>
      <c r="L460" s="6"/>
      <c r="M460" s="6"/>
      <c r="N460" s="6"/>
      <c r="O460" s="6"/>
      <c r="P460" s="6"/>
      <c r="Q460" s="6"/>
      <c r="R460" s="6"/>
      <c r="S460" s="6"/>
      <c r="T460" s="6"/>
      <c r="U460" s="6"/>
      <c r="V460" s="6"/>
      <c r="W460" s="6"/>
      <c r="X460" s="6"/>
    </row>
    <row r="461" hidden="1">
      <c r="A461" s="6"/>
      <c r="B461" s="6"/>
      <c r="C461" s="6"/>
      <c r="D461" s="6"/>
      <c r="E461" s="6"/>
      <c r="F461" s="6"/>
      <c r="G461" s="6" t="str">
        <f>IFERROR(__xludf.DUMMYFUNCTION("""COMPUTED_VALUE"""),"")</f>
        <v/>
      </c>
      <c r="H461" s="6"/>
      <c r="I461" s="6"/>
      <c r="J461" s="6"/>
      <c r="K461" s="6"/>
      <c r="L461" s="6"/>
      <c r="M461" s="6"/>
      <c r="N461" s="6"/>
      <c r="O461" s="6"/>
      <c r="P461" s="6"/>
      <c r="Q461" s="6"/>
      <c r="R461" s="6"/>
      <c r="S461" s="6"/>
      <c r="T461" s="6"/>
      <c r="U461" s="6"/>
      <c r="V461" s="6"/>
      <c r="W461" s="6"/>
      <c r="X461" s="6"/>
    </row>
    <row r="462" hidden="1">
      <c r="A462" s="6"/>
      <c r="B462" s="6"/>
      <c r="C462" s="6"/>
      <c r="D462" s="6"/>
      <c r="E462" s="6"/>
      <c r="F462" s="6"/>
      <c r="G462" s="6" t="str">
        <f>IFERROR(__xludf.DUMMYFUNCTION("""COMPUTED_VALUE"""),"")</f>
        <v/>
      </c>
      <c r="H462" s="6"/>
      <c r="I462" s="6"/>
      <c r="J462" s="6"/>
      <c r="K462" s="6"/>
      <c r="L462" s="6"/>
      <c r="M462" s="6"/>
      <c r="N462" s="6"/>
      <c r="O462" s="6"/>
      <c r="P462" s="6"/>
      <c r="Q462" s="6"/>
      <c r="R462" s="6"/>
      <c r="S462" s="6"/>
      <c r="T462" s="6"/>
      <c r="U462" s="6"/>
      <c r="V462" s="6"/>
      <c r="W462" s="6"/>
      <c r="X462" s="6"/>
    </row>
    <row r="463" hidden="1">
      <c r="A463" s="6"/>
      <c r="B463" s="6"/>
      <c r="C463" s="6"/>
      <c r="D463" s="6"/>
      <c r="E463" s="6"/>
      <c r="F463" s="6"/>
      <c r="G463" s="6" t="str">
        <f>IFERROR(__xludf.DUMMYFUNCTION("""COMPUTED_VALUE"""),"")</f>
        <v/>
      </c>
      <c r="H463" s="6"/>
      <c r="I463" s="6"/>
      <c r="J463" s="6"/>
      <c r="K463" s="6"/>
      <c r="L463" s="6"/>
      <c r="M463" s="6"/>
      <c r="N463" s="6"/>
      <c r="O463" s="6"/>
      <c r="P463" s="6"/>
      <c r="Q463" s="6"/>
      <c r="R463" s="6"/>
      <c r="S463" s="6"/>
      <c r="T463" s="6"/>
      <c r="U463" s="6"/>
      <c r="V463" s="6"/>
      <c r="W463" s="6"/>
      <c r="X463" s="6"/>
    </row>
    <row r="464" hidden="1">
      <c r="A464" s="6"/>
      <c r="B464" s="6"/>
      <c r="C464" s="6"/>
      <c r="D464" s="6"/>
      <c r="E464" s="6"/>
      <c r="F464" s="6"/>
      <c r="G464" s="6" t="str">
        <f>IFERROR(__xludf.DUMMYFUNCTION("""COMPUTED_VALUE"""),"")</f>
        <v/>
      </c>
      <c r="H464" s="6"/>
      <c r="I464" s="6"/>
      <c r="J464" s="6"/>
      <c r="K464" s="6"/>
      <c r="L464" s="6"/>
      <c r="M464" s="6"/>
      <c r="N464" s="6"/>
      <c r="O464" s="6"/>
      <c r="P464" s="6"/>
      <c r="Q464" s="6"/>
      <c r="R464" s="6"/>
      <c r="S464" s="6"/>
      <c r="T464" s="6"/>
      <c r="U464" s="6"/>
      <c r="V464" s="6"/>
      <c r="W464" s="6"/>
      <c r="X464" s="6"/>
    </row>
    <row r="465" hidden="1">
      <c r="A465" s="6"/>
      <c r="B465" s="6"/>
      <c r="C465" s="6"/>
      <c r="D465" s="6"/>
      <c r="E465" s="6"/>
      <c r="F465" s="6"/>
      <c r="G465" s="6" t="str">
        <f>IFERROR(__xludf.DUMMYFUNCTION("""COMPUTED_VALUE"""),"")</f>
        <v/>
      </c>
      <c r="H465" s="6"/>
      <c r="I465" s="6"/>
      <c r="J465" s="6"/>
      <c r="K465" s="6"/>
      <c r="L465" s="6"/>
      <c r="M465" s="6"/>
      <c r="N465" s="6"/>
      <c r="O465" s="6"/>
      <c r="P465" s="6"/>
      <c r="Q465" s="6"/>
      <c r="R465" s="6"/>
      <c r="S465" s="6"/>
      <c r="T465" s="6"/>
      <c r="U465" s="6"/>
      <c r="V465" s="6"/>
      <c r="W465" s="6"/>
      <c r="X465" s="6"/>
    </row>
    <row r="466" hidden="1">
      <c r="A466" s="6"/>
      <c r="B466" s="6"/>
      <c r="C466" s="6"/>
      <c r="D466" s="6"/>
      <c r="E466" s="6"/>
      <c r="F466" s="6"/>
      <c r="G466" s="6" t="str">
        <f>IFERROR(__xludf.DUMMYFUNCTION("""COMPUTED_VALUE"""),"")</f>
        <v/>
      </c>
      <c r="H466" s="6"/>
      <c r="I466" s="6"/>
      <c r="J466" s="6"/>
      <c r="K466" s="6"/>
      <c r="L466" s="6"/>
      <c r="M466" s="6"/>
      <c r="N466" s="6"/>
      <c r="O466" s="6"/>
      <c r="P466" s="6"/>
      <c r="Q466" s="6"/>
      <c r="R466" s="6"/>
      <c r="S466" s="6"/>
      <c r="T466" s="6"/>
      <c r="U466" s="6"/>
      <c r="V466" s="6"/>
      <c r="W466" s="6"/>
      <c r="X466" s="6"/>
    </row>
    <row r="467" hidden="1">
      <c r="A467" s="6"/>
      <c r="B467" s="6"/>
      <c r="C467" s="6"/>
      <c r="D467" s="6"/>
      <c r="E467" s="6"/>
      <c r="F467" s="6"/>
      <c r="G467" s="6" t="str">
        <f>IFERROR(__xludf.DUMMYFUNCTION("""COMPUTED_VALUE"""),"")</f>
        <v/>
      </c>
      <c r="H467" s="6"/>
      <c r="I467" s="6"/>
      <c r="J467" s="6"/>
      <c r="K467" s="6"/>
      <c r="L467" s="6"/>
      <c r="M467" s="6"/>
      <c r="N467" s="6"/>
      <c r="O467" s="6"/>
      <c r="P467" s="6"/>
      <c r="Q467" s="6"/>
      <c r="R467" s="6"/>
      <c r="S467" s="6"/>
      <c r="T467" s="6"/>
      <c r="U467" s="6"/>
      <c r="V467" s="6"/>
      <c r="W467" s="6"/>
      <c r="X467" s="6"/>
    </row>
    <row r="468" hidden="1">
      <c r="A468" s="6"/>
      <c r="B468" s="6"/>
      <c r="C468" s="6"/>
      <c r="D468" s="6"/>
      <c r="E468" s="6"/>
      <c r="F468" s="6"/>
      <c r="G468" s="6" t="str">
        <f>IFERROR(__xludf.DUMMYFUNCTION("""COMPUTED_VALUE"""),"")</f>
        <v/>
      </c>
      <c r="H468" s="6"/>
      <c r="I468" s="6"/>
      <c r="J468" s="6"/>
      <c r="K468" s="6"/>
      <c r="L468" s="6"/>
      <c r="M468" s="6"/>
      <c r="N468" s="6"/>
      <c r="O468" s="6"/>
      <c r="P468" s="6"/>
      <c r="Q468" s="6"/>
      <c r="R468" s="6"/>
      <c r="S468" s="6"/>
      <c r="T468" s="6"/>
      <c r="U468" s="6"/>
      <c r="V468" s="6"/>
      <c r="W468" s="6"/>
      <c r="X468" s="6"/>
    </row>
    <row r="469" hidden="1">
      <c r="A469" s="6"/>
      <c r="B469" s="6"/>
      <c r="C469" s="6"/>
      <c r="D469" s="6"/>
      <c r="E469" s="6"/>
      <c r="F469" s="6"/>
      <c r="G469" s="6" t="str">
        <f>IFERROR(__xludf.DUMMYFUNCTION("""COMPUTED_VALUE"""),"")</f>
        <v/>
      </c>
      <c r="H469" s="6"/>
      <c r="I469" s="6"/>
      <c r="J469" s="6"/>
      <c r="K469" s="6"/>
      <c r="L469" s="6"/>
      <c r="M469" s="6"/>
      <c r="N469" s="6"/>
      <c r="O469" s="6"/>
      <c r="P469" s="6"/>
      <c r="Q469" s="6"/>
      <c r="R469" s="6"/>
      <c r="S469" s="6"/>
      <c r="T469" s="6"/>
      <c r="U469" s="6"/>
      <c r="V469" s="6"/>
      <c r="W469" s="6"/>
      <c r="X469" s="6"/>
    </row>
    <row r="470" hidden="1">
      <c r="A470" s="6"/>
      <c r="B470" s="6"/>
      <c r="C470" s="6"/>
      <c r="D470" s="6"/>
      <c r="E470" s="6"/>
      <c r="F470" s="6"/>
      <c r="G470" s="6" t="str">
        <f>IFERROR(__xludf.DUMMYFUNCTION("""COMPUTED_VALUE"""),"")</f>
        <v/>
      </c>
      <c r="H470" s="6"/>
      <c r="I470" s="6"/>
      <c r="J470" s="6"/>
      <c r="K470" s="6"/>
      <c r="L470" s="6"/>
      <c r="M470" s="6"/>
      <c r="N470" s="6"/>
      <c r="O470" s="6"/>
      <c r="P470" s="6"/>
      <c r="Q470" s="6"/>
      <c r="R470" s="6"/>
      <c r="S470" s="6"/>
      <c r="T470" s="6"/>
      <c r="U470" s="6"/>
      <c r="V470" s="6"/>
      <c r="W470" s="6"/>
      <c r="X470" s="6"/>
    </row>
    <row r="471" hidden="1">
      <c r="A471" s="6"/>
      <c r="B471" s="6"/>
      <c r="C471" s="6"/>
      <c r="D471" s="6"/>
      <c r="E471" s="6"/>
      <c r="F471" s="6"/>
      <c r="G471" s="6" t="str">
        <f>IFERROR(__xludf.DUMMYFUNCTION("""COMPUTED_VALUE"""),"")</f>
        <v/>
      </c>
      <c r="H471" s="6"/>
      <c r="I471" s="6"/>
      <c r="J471" s="6"/>
      <c r="K471" s="6"/>
      <c r="L471" s="6"/>
      <c r="M471" s="6"/>
      <c r="N471" s="6"/>
      <c r="O471" s="6"/>
      <c r="P471" s="6"/>
      <c r="Q471" s="6"/>
      <c r="R471" s="6"/>
      <c r="S471" s="6"/>
      <c r="T471" s="6"/>
      <c r="U471" s="6"/>
      <c r="V471" s="6"/>
      <c r="W471" s="6"/>
      <c r="X471" s="6"/>
    </row>
    <row r="472" hidden="1">
      <c r="A472" s="6"/>
      <c r="B472" s="6"/>
      <c r="C472" s="6"/>
      <c r="D472" s="6"/>
      <c r="E472" s="6"/>
      <c r="F472" s="6"/>
      <c r="G472" s="6" t="str">
        <f>IFERROR(__xludf.DUMMYFUNCTION("""COMPUTED_VALUE"""),"")</f>
        <v/>
      </c>
      <c r="H472" s="6"/>
      <c r="I472" s="6"/>
      <c r="J472" s="6"/>
      <c r="K472" s="6"/>
      <c r="L472" s="6"/>
      <c r="M472" s="6"/>
      <c r="N472" s="6"/>
      <c r="O472" s="6"/>
      <c r="P472" s="6"/>
      <c r="Q472" s="6"/>
      <c r="R472" s="6"/>
      <c r="S472" s="6"/>
      <c r="T472" s="6"/>
      <c r="U472" s="6"/>
      <c r="V472" s="6"/>
      <c r="W472" s="6"/>
      <c r="X472" s="6"/>
    </row>
    <row r="473" hidden="1">
      <c r="A473" s="6"/>
      <c r="B473" s="6"/>
      <c r="C473" s="6"/>
      <c r="D473" s="6"/>
      <c r="E473" s="6"/>
      <c r="F473" s="6"/>
      <c r="G473" s="6" t="str">
        <f>IFERROR(__xludf.DUMMYFUNCTION("""COMPUTED_VALUE"""),"")</f>
        <v/>
      </c>
      <c r="H473" s="6"/>
      <c r="I473" s="6"/>
      <c r="J473" s="6"/>
      <c r="K473" s="6"/>
      <c r="L473" s="6"/>
      <c r="M473" s="6"/>
      <c r="N473" s="6"/>
      <c r="O473" s="6"/>
      <c r="P473" s="6"/>
      <c r="Q473" s="6"/>
      <c r="R473" s="6"/>
      <c r="S473" s="6"/>
      <c r="T473" s="6"/>
      <c r="U473" s="6"/>
      <c r="V473" s="6"/>
      <c r="W473" s="6"/>
      <c r="X473" s="6"/>
    </row>
    <row r="474" hidden="1">
      <c r="A474" s="6"/>
      <c r="B474" s="6"/>
      <c r="C474" s="6"/>
      <c r="D474" s="6"/>
      <c r="E474" s="6"/>
      <c r="F474" s="6"/>
      <c r="G474" s="6" t="str">
        <f>IFERROR(__xludf.DUMMYFUNCTION("""COMPUTED_VALUE"""),"")</f>
        <v/>
      </c>
      <c r="H474" s="6"/>
      <c r="I474" s="6"/>
      <c r="J474" s="6"/>
      <c r="K474" s="6"/>
      <c r="L474" s="6"/>
      <c r="M474" s="6"/>
      <c r="N474" s="6"/>
      <c r="O474" s="6"/>
      <c r="P474" s="6"/>
      <c r="Q474" s="6"/>
      <c r="R474" s="6"/>
      <c r="S474" s="6"/>
      <c r="T474" s="6"/>
      <c r="U474" s="6"/>
      <c r="V474" s="6"/>
      <c r="W474" s="6"/>
      <c r="X474" s="6"/>
    </row>
    <row r="475" hidden="1">
      <c r="A475" s="6"/>
      <c r="B475" s="6"/>
      <c r="C475" s="6"/>
      <c r="D475" s="6"/>
      <c r="E475" s="6"/>
      <c r="F475" s="6"/>
      <c r="G475" s="6" t="str">
        <f>IFERROR(__xludf.DUMMYFUNCTION("""COMPUTED_VALUE"""),"")</f>
        <v/>
      </c>
      <c r="H475" s="6"/>
      <c r="I475" s="6"/>
      <c r="J475" s="6"/>
      <c r="K475" s="6"/>
      <c r="L475" s="6"/>
      <c r="M475" s="6"/>
      <c r="N475" s="6"/>
      <c r="O475" s="6"/>
      <c r="P475" s="6"/>
      <c r="Q475" s="6"/>
      <c r="R475" s="6"/>
      <c r="S475" s="6"/>
      <c r="T475" s="6"/>
      <c r="U475" s="6"/>
      <c r="V475" s="6"/>
      <c r="W475" s="6"/>
      <c r="X475" s="6"/>
    </row>
    <row r="476" hidden="1">
      <c r="A476" s="6"/>
      <c r="B476" s="6"/>
      <c r="C476" s="6"/>
      <c r="D476" s="6"/>
      <c r="E476" s="6"/>
      <c r="F476" s="6"/>
      <c r="G476" s="6" t="str">
        <f>IFERROR(__xludf.DUMMYFUNCTION("""COMPUTED_VALUE"""),"")</f>
        <v/>
      </c>
      <c r="H476" s="6"/>
      <c r="I476" s="6"/>
      <c r="J476" s="6"/>
      <c r="K476" s="6"/>
      <c r="L476" s="6"/>
      <c r="M476" s="6"/>
      <c r="N476" s="6"/>
      <c r="O476" s="6"/>
      <c r="P476" s="6"/>
      <c r="Q476" s="6"/>
      <c r="R476" s="6"/>
      <c r="S476" s="6"/>
      <c r="T476" s="6"/>
      <c r="U476" s="6"/>
      <c r="V476" s="6"/>
      <c r="W476" s="6"/>
      <c r="X476" s="6"/>
    </row>
    <row r="477" hidden="1">
      <c r="A477" s="6"/>
      <c r="B477" s="6"/>
      <c r="C477" s="6"/>
      <c r="D477" s="6"/>
      <c r="E477" s="6"/>
      <c r="F477" s="6"/>
      <c r="G477" s="6" t="str">
        <f>IFERROR(__xludf.DUMMYFUNCTION("""COMPUTED_VALUE"""),"")</f>
        <v/>
      </c>
      <c r="H477" s="6"/>
      <c r="I477" s="6"/>
      <c r="J477" s="6"/>
      <c r="K477" s="6"/>
      <c r="L477" s="6"/>
      <c r="M477" s="6"/>
      <c r="N477" s="6"/>
      <c r="O477" s="6"/>
      <c r="P477" s="6"/>
      <c r="Q477" s="6"/>
      <c r="R477" s="6"/>
      <c r="S477" s="6"/>
      <c r="T477" s="6"/>
      <c r="U477" s="6"/>
      <c r="V477" s="6"/>
      <c r="W477" s="6"/>
      <c r="X477" s="6"/>
    </row>
    <row r="478" hidden="1">
      <c r="A478" s="6"/>
      <c r="B478" s="6"/>
      <c r="C478" s="6"/>
      <c r="D478" s="6"/>
      <c r="E478" s="6"/>
      <c r="F478" s="6"/>
      <c r="G478" s="6" t="str">
        <f>IFERROR(__xludf.DUMMYFUNCTION("""COMPUTED_VALUE"""),"")</f>
        <v/>
      </c>
      <c r="H478" s="6"/>
      <c r="I478" s="6"/>
      <c r="J478" s="6"/>
      <c r="K478" s="6"/>
      <c r="L478" s="6"/>
      <c r="M478" s="6"/>
      <c r="N478" s="6"/>
      <c r="O478" s="6"/>
      <c r="P478" s="6"/>
      <c r="Q478" s="6"/>
      <c r="R478" s="6"/>
      <c r="S478" s="6"/>
      <c r="T478" s="6"/>
      <c r="U478" s="6"/>
      <c r="V478" s="6"/>
      <c r="W478" s="6"/>
      <c r="X478" s="6"/>
    </row>
    <row r="479" hidden="1">
      <c r="A479" s="6"/>
      <c r="B479" s="6"/>
      <c r="C479" s="6"/>
      <c r="D479" s="6"/>
      <c r="E479" s="6"/>
      <c r="F479" s="6"/>
      <c r="G479" s="6" t="str">
        <f>IFERROR(__xludf.DUMMYFUNCTION("""COMPUTED_VALUE"""),"")</f>
        <v/>
      </c>
      <c r="H479" s="6"/>
      <c r="I479" s="6"/>
      <c r="J479" s="6"/>
      <c r="K479" s="6"/>
      <c r="L479" s="6"/>
      <c r="M479" s="6"/>
      <c r="N479" s="6"/>
      <c r="O479" s="6"/>
      <c r="P479" s="6"/>
      <c r="Q479" s="6"/>
      <c r="R479" s="6"/>
      <c r="S479" s="6"/>
      <c r="T479" s="6"/>
      <c r="U479" s="6"/>
      <c r="V479" s="6"/>
      <c r="W479" s="6"/>
      <c r="X479" s="6"/>
    </row>
    <row r="480" hidden="1">
      <c r="A480" s="6"/>
      <c r="B480" s="6"/>
      <c r="C480" s="6"/>
      <c r="D480" s="6"/>
      <c r="E480" s="6"/>
      <c r="F480" s="6"/>
      <c r="G480" s="6" t="str">
        <f>IFERROR(__xludf.DUMMYFUNCTION("""COMPUTED_VALUE"""),"")</f>
        <v/>
      </c>
      <c r="H480" s="6"/>
      <c r="I480" s="6"/>
      <c r="J480" s="6"/>
      <c r="K480" s="6"/>
      <c r="L480" s="6"/>
      <c r="M480" s="6"/>
      <c r="N480" s="6"/>
      <c r="O480" s="6"/>
      <c r="P480" s="6"/>
      <c r="Q480" s="6"/>
      <c r="R480" s="6"/>
      <c r="S480" s="6"/>
      <c r="T480" s="6"/>
      <c r="U480" s="6"/>
      <c r="V480" s="6"/>
      <c r="W480" s="6"/>
      <c r="X480" s="6"/>
    </row>
    <row r="481" hidden="1">
      <c r="A481" s="6"/>
      <c r="B481" s="6"/>
      <c r="C481" s="6"/>
      <c r="D481" s="6"/>
      <c r="E481" s="6"/>
      <c r="F481" s="6"/>
      <c r="G481" s="6" t="str">
        <f>IFERROR(__xludf.DUMMYFUNCTION("""COMPUTED_VALUE"""),"")</f>
        <v/>
      </c>
      <c r="H481" s="6"/>
      <c r="I481" s="6"/>
      <c r="J481" s="6"/>
      <c r="K481" s="6"/>
      <c r="L481" s="6"/>
      <c r="M481" s="6"/>
      <c r="N481" s="6"/>
      <c r="O481" s="6"/>
      <c r="P481" s="6"/>
      <c r="Q481" s="6"/>
      <c r="R481" s="6"/>
      <c r="S481" s="6"/>
      <c r="T481" s="6"/>
      <c r="U481" s="6"/>
      <c r="V481" s="6"/>
      <c r="W481" s="6"/>
      <c r="X481" s="6"/>
    </row>
    <row r="482" hidden="1">
      <c r="A482" s="6"/>
      <c r="B482" s="6"/>
      <c r="C482" s="6"/>
      <c r="D482" s="6"/>
      <c r="E482" s="6"/>
      <c r="F482" s="6"/>
      <c r="G482" s="6" t="str">
        <f>IFERROR(__xludf.DUMMYFUNCTION("""COMPUTED_VALUE"""),"")</f>
        <v/>
      </c>
      <c r="H482" s="6"/>
      <c r="I482" s="6"/>
      <c r="J482" s="6"/>
      <c r="K482" s="6"/>
      <c r="L482" s="6"/>
      <c r="M482" s="6"/>
      <c r="N482" s="6"/>
      <c r="O482" s="6"/>
      <c r="P482" s="6"/>
      <c r="Q482" s="6"/>
      <c r="R482" s="6"/>
      <c r="S482" s="6"/>
      <c r="T482" s="6"/>
      <c r="U482" s="6"/>
      <c r="V482" s="6"/>
      <c r="W482" s="6"/>
      <c r="X482" s="6"/>
    </row>
    <row r="483" hidden="1">
      <c r="A483" s="6"/>
      <c r="B483" s="6"/>
      <c r="C483" s="6"/>
      <c r="D483" s="6"/>
      <c r="E483" s="6"/>
      <c r="F483" s="6"/>
      <c r="G483" s="6" t="str">
        <f>IFERROR(__xludf.DUMMYFUNCTION("""COMPUTED_VALUE"""),"")</f>
        <v/>
      </c>
      <c r="H483" s="6"/>
      <c r="I483" s="6"/>
      <c r="J483" s="6"/>
      <c r="K483" s="6"/>
      <c r="L483" s="6"/>
      <c r="M483" s="6"/>
      <c r="N483" s="6"/>
      <c r="O483" s="6"/>
      <c r="P483" s="6"/>
      <c r="Q483" s="6"/>
      <c r="R483" s="6"/>
      <c r="S483" s="6"/>
      <c r="T483" s="6"/>
      <c r="U483" s="6"/>
      <c r="V483" s="6"/>
      <c r="W483" s="6"/>
      <c r="X483" s="6"/>
    </row>
    <row r="484" hidden="1">
      <c r="A484" s="6"/>
      <c r="B484" s="6"/>
      <c r="C484" s="6"/>
      <c r="D484" s="6"/>
      <c r="E484" s="6"/>
      <c r="F484" s="6"/>
      <c r="G484" s="6" t="str">
        <f>IFERROR(__xludf.DUMMYFUNCTION("""COMPUTED_VALUE"""),"")</f>
        <v/>
      </c>
      <c r="H484" s="6"/>
      <c r="I484" s="6"/>
      <c r="J484" s="6"/>
      <c r="K484" s="6"/>
      <c r="L484" s="6"/>
      <c r="M484" s="6"/>
      <c r="N484" s="6"/>
      <c r="O484" s="6"/>
      <c r="P484" s="6"/>
      <c r="Q484" s="6"/>
      <c r="R484" s="6"/>
      <c r="S484" s="6"/>
      <c r="T484" s="6"/>
      <c r="U484" s="6"/>
      <c r="V484" s="6"/>
      <c r="W484" s="6"/>
      <c r="X484" s="6"/>
    </row>
    <row r="485" hidden="1">
      <c r="A485" s="6"/>
      <c r="B485" s="6"/>
      <c r="C485" s="6"/>
      <c r="D485" s="6"/>
      <c r="E485" s="6"/>
      <c r="F485" s="6"/>
      <c r="G485" s="6" t="str">
        <f>IFERROR(__xludf.DUMMYFUNCTION("""COMPUTED_VALUE"""),"")</f>
        <v/>
      </c>
      <c r="H485" s="6"/>
      <c r="I485" s="6"/>
      <c r="J485" s="6"/>
      <c r="K485" s="6"/>
      <c r="L485" s="6"/>
      <c r="M485" s="6"/>
      <c r="N485" s="6"/>
      <c r="O485" s="6"/>
      <c r="P485" s="6"/>
      <c r="Q485" s="6"/>
      <c r="R485" s="6"/>
      <c r="S485" s="6"/>
      <c r="T485" s="6"/>
      <c r="U485" s="6"/>
      <c r="V485" s="6"/>
      <c r="W485" s="6"/>
      <c r="X485" s="6"/>
    </row>
    <row r="486" hidden="1">
      <c r="A486" s="6"/>
      <c r="B486" s="6"/>
      <c r="C486" s="6"/>
      <c r="D486" s="6"/>
      <c r="E486" s="6"/>
      <c r="F486" s="6"/>
      <c r="G486" s="6" t="str">
        <f>IFERROR(__xludf.DUMMYFUNCTION("""COMPUTED_VALUE"""),"")</f>
        <v/>
      </c>
      <c r="H486" s="6"/>
      <c r="I486" s="6"/>
      <c r="J486" s="6"/>
      <c r="K486" s="6"/>
      <c r="L486" s="6"/>
      <c r="M486" s="6"/>
      <c r="N486" s="6"/>
      <c r="O486" s="6"/>
      <c r="P486" s="6"/>
      <c r="Q486" s="6"/>
      <c r="R486" s="6"/>
      <c r="S486" s="6"/>
      <c r="T486" s="6"/>
      <c r="U486" s="6"/>
      <c r="V486" s="6"/>
      <c r="W486" s="6"/>
      <c r="X486" s="6"/>
    </row>
    <row r="487" hidden="1">
      <c r="A487" s="6"/>
      <c r="B487" s="6"/>
      <c r="C487" s="6"/>
      <c r="D487" s="6"/>
      <c r="E487" s="6"/>
      <c r="F487" s="6"/>
      <c r="G487" s="6" t="str">
        <f>IFERROR(__xludf.DUMMYFUNCTION("""COMPUTED_VALUE"""),"")</f>
        <v/>
      </c>
      <c r="H487" s="6"/>
      <c r="I487" s="6"/>
      <c r="J487" s="6"/>
      <c r="K487" s="6"/>
      <c r="L487" s="6"/>
      <c r="M487" s="6"/>
      <c r="N487" s="6"/>
      <c r="O487" s="6"/>
      <c r="P487" s="6"/>
      <c r="Q487" s="6"/>
      <c r="R487" s="6"/>
      <c r="S487" s="6"/>
      <c r="T487" s="6"/>
      <c r="U487" s="6"/>
      <c r="V487" s="6"/>
      <c r="W487" s="6"/>
      <c r="X487" s="6"/>
    </row>
    <row r="488" hidden="1">
      <c r="A488" s="6"/>
      <c r="B488" s="6"/>
      <c r="C488" s="6"/>
      <c r="D488" s="6"/>
      <c r="E488" s="6"/>
      <c r="F488" s="6"/>
      <c r="G488" s="6" t="str">
        <f>IFERROR(__xludf.DUMMYFUNCTION("""COMPUTED_VALUE"""),"")</f>
        <v/>
      </c>
      <c r="H488" s="6"/>
      <c r="I488" s="6"/>
      <c r="J488" s="6"/>
      <c r="K488" s="6"/>
      <c r="L488" s="6"/>
      <c r="M488" s="6"/>
      <c r="N488" s="6"/>
      <c r="O488" s="6"/>
      <c r="P488" s="6"/>
      <c r="Q488" s="6"/>
      <c r="R488" s="6"/>
      <c r="S488" s="6"/>
      <c r="T488" s="6"/>
      <c r="U488" s="6"/>
      <c r="V488" s="6"/>
      <c r="W488" s="6"/>
      <c r="X488" s="6"/>
    </row>
    <row r="489" hidden="1">
      <c r="A489" s="6"/>
      <c r="B489" s="6"/>
      <c r="C489" s="6"/>
      <c r="D489" s="6"/>
      <c r="E489" s="6"/>
      <c r="F489" s="6"/>
      <c r="G489" s="6" t="str">
        <f>IFERROR(__xludf.DUMMYFUNCTION("""COMPUTED_VALUE"""),"")</f>
        <v/>
      </c>
      <c r="H489" s="6"/>
      <c r="I489" s="6"/>
      <c r="J489" s="6"/>
      <c r="K489" s="6"/>
      <c r="L489" s="6"/>
      <c r="M489" s="6"/>
      <c r="N489" s="6"/>
      <c r="O489" s="6"/>
      <c r="P489" s="6"/>
      <c r="Q489" s="6"/>
      <c r="R489" s="6"/>
      <c r="S489" s="6"/>
      <c r="T489" s="6"/>
      <c r="U489" s="6"/>
      <c r="V489" s="6"/>
      <c r="W489" s="6"/>
      <c r="X489" s="6"/>
    </row>
    <row r="490" hidden="1">
      <c r="A490" s="6"/>
      <c r="B490" s="6"/>
      <c r="C490" s="6"/>
      <c r="D490" s="6"/>
      <c r="E490" s="6"/>
      <c r="F490" s="6"/>
      <c r="G490" s="6" t="str">
        <f>IFERROR(__xludf.DUMMYFUNCTION("""COMPUTED_VALUE"""),"")</f>
        <v/>
      </c>
      <c r="H490" s="6"/>
      <c r="I490" s="6"/>
      <c r="J490" s="6"/>
      <c r="K490" s="6"/>
      <c r="L490" s="6"/>
      <c r="M490" s="6"/>
      <c r="N490" s="6"/>
      <c r="O490" s="6"/>
      <c r="P490" s="6"/>
      <c r="Q490" s="6"/>
      <c r="R490" s="6"/>
      <c r="S490" s="6"/>
      <c r="T490" s="6"/>
      <c r="U490" s="6"/>
      <c r="V490" s="6"/>
      <c r="W490" s="6"/>
      <c r="X490" s="6"/>
    </row>
    <row r="491" hidden="1">
      <c r="A491" s="6"/>
      <c r="B491" s="6"/>
      <c r="C491" s="6"/>
      <c r="D491" s="6"/>
      <c r="E491" s="6"/>
      <c r="F491" s="6"/>
      <c r="G491" s="6" t="str">
        <f>IFERROR(__xludf.DUMMYFUNCTION("""COMPUTED_VALUE"""),"")</f>
        <v/>
      </c>
      <c r="H491" s="6"/>
      <c r="I491" s="6"/>
      <c r="J491" s="6"/>
      <c r="K491" s="6"/>
      <c r="L491" s="6"/>
      <c r="M491" s="6"/>
      <c r="N491" s="6"/>
      <c r="O491" s="6"/>
      <c r="P491" s="6"/>
      <c r="Q491" s="6"/>
      <c r="R491" s="6"/>
      <c r="S491" s="6"/>
      <c r="T491" s="6"/>
      <c r="U491" s="6"/>
      <c r="V491" s="6"/>
      <c r="W491" s="6"/>
      <c r="X491" s="6"/>
    </row>
    <row r="492" hidden="1">
      <c r="A492" s="6"/>
      <c r="B492" s="6"/>
      <c r="C492" s="6"/>
      <c r="D492" s="6"/>
      <c r="E492" s="6"/>
      <c r="F492" s="6"/>
      <c r="G492" s="6" t="str">
        <f>IFERROR(__xludf.DUMMYFUNCTION("""COMPUTED_VALUE"""),"")</f>
        <v/>
      </c>
      <c r="H492" s="6"/>
      <c r="I492" s="6"/>
      <c r="J492" s="6"/>
      <c r="K492" s="6"/>
      <c r="L492" s="6"/>
      <c r="M492" s="6"/>
      <c r="N492" s="6"/>
      <c r="O492" s="6"/>
      <c r="P492" s="6"/>
      <c r="Q492" s="6"/>
      <c r="R492" s="6"/>
      <c r="S492" s="6"/>
      <c r="T492" s="6"/>
      <c r="U492" s="6"/>
      <c r="V492" s="6"/>
      <c r="W492" s="6"/>
      <c r="X492" s="6"/>
    </row>
    <row r="493" hidden="1">
      <c r="A493" s="6"/>
      <c r="B493" s="6"/>
      <c r="C493" s="6"/>
      <c r="D493" s="6"/>
      <c r="E493" s="6"/>
      <c r="F493" s="6"/>
      <c r="G493" s="6" t="str">
        <f>IFERROR(__xludf.DUMMYFUNCTION("""COMPUTED_VALUE"""),"")</f>
        <v/>
      </c>
      <c r="H493" s="6"/>
      <c r="I493" s="6"/>
      <c r="J493" s="6"/>
      <c r="K493" s="6"/>
      <c r="L493" s="6"/>
      <c r="M493" s="6"/>
      <c r="N493" s="6"/>
      <c r="O493" s="6"/>
      <c r="P493" s="6"/>
      <c r="Q493" s="6"/>
      <c r="R493" s="6"/>
      <c r="S493" s="6"/>
      <c r="T493" s="6"/>
      <c r="U493" s="6"/>
      <c r="V493" s="6"/>
      <c r="W493" s="6"/>
      <c r="X493" s="6"/>
    </row>
    <row r="494" hidden="1">
      <c r="A494" s="6"/>
      <c r="B494" s="6"/>
      <c r="C494" s="6"/>
      <c r="D494" s="6"/>
      <c r="E494" s="6"/>
      <c r="F494" s="6"/>
      <c r="G494" s="6" t="str">
        <f>IFERROR(__xludf.DUMMYFUNCTION("""COMPUTED_VALUE"""),"")</f>
        <v/>
      </c>
      <c r="H494" s="6"/>
      <c r="I494" s="6"/>
      <c r="J494" s="6"/>
      <c r="K494" s="6"/>
      <c r="L494" s="6"/>
      <c r="M494" s="6"/>
      <c r="N494" s="6"/>
      <c r="O494" s="6"/>
      <c r="P494" s="6"/>
      <c r="Q494" s="6"/>
      <c r="R494" s="6"/>
      <c r="S494" s="6"/>
      <c r="T494" s="6"/>
      <c r="U494" s="6"/>
      <c r="V494" s="6"/>
      <c r="W494" s="6"/>
      <c r="X494" s="6"/>
    </row>
    <row r="495" hidden="1">
      <c r="A495" s="6"/>
      <c r="B495" s="6"/>
      <c r="C495" s="6"/>
      <c r="D495" s="6"/>
      <c r="E495" s="6"/>
      <c r="F495" s="6"/>
      <c r="G495" s="6" t="str">
        <f>IFERROR(__xludf.DUMMYFUNCTION("""COMPUTED_VALUE"""),"")</f>
        <v/>
      </c>
      <c r="H495" s="6"/>
      <c r="I495" s="6"/>
      <c r="J495" s="6"/>
      <c r="K495" s="6"/>
      <c r="L495" s="6"/>
      <c r="M495" s="6"/>
      <c r="N495" s="6"/>
      <c r="O495" s="6"/>
      <c r="P495" s="6"/>
      <c r="Q495" s="6"/>
      <c r="R495" s="6"/>
      <c r="S495" s="6"/>
      <c r="T495" s="6"/>
      <c r="U495" s="6"/>
      <c r="V495" s="6"/>
      <c r="W495" s="6"/>
      <c r="X495" s="6"/>
    </row>
    <row r="496" hidden="1">
      <c r="A496" s="6"/>
      <c r="B496" s="6"/>
      <c r="C496" s="6"/>
      <c r="D496" s="6"/>
      <c r="E496" s="6"/>
      <c r="F496" s="6"/>
      <c r="G496" s="6" t="str">
        <f>IFERROR(__xludf.DUMMYFUNCTION("""COMPUTED_VALUE"""),"")</f>
        <v/>
      </c>
      <c r="H496" s="6"/>
      <c r="I496" s="6"/>
      <c r="J496" s="6"/>
      <c r="K496" s="6"/>
      <c r="L496" s="6"/>
      <c r="M496" s="6"/>
      <c r="N496" s="6"/>
      <c r="O496" s="6"/>
      <c r="P496" s="6"/>
      <c r="Q496" s="6"/>
      <c r="R496" s="6"/>
      <c r="S496" s="6"/>
      <c r="T496" s="6"/>
      <c r="U496" s="6"/>
      <c r="V496" s="6"/>
      <c r="W496" s="6"/>
      <c r="X496" s="6"/>
    </row>
    <row r="497" hidden="1">
      <c r="A497" s="6"/>
      <c r="B497" s="6"/>
      <c r="C497" s="6"/>
      <c r="D497" s="6"/>
      <c r="E497" s="6"/>
      <c r="F497" s="6"/>
      <c r="G497" s="6" t="str">
        <f>IFERROR(__xludf.DUMMYFUNCTION("""COMPUTED_VALUE"""),"")</f>
        <v/>
      </c>
      <c r="H497" s="6"/>
      <c r="I497" s="6"/>
      <c r="J497" s="6"/>
      <c r="K497" s="6"/>
      <c r="L497" s="6"/>
      <c r="M497" s="6"/>
      <c r="N497" s="6"/>
      <c r="O497" s="6"/>
      <c r="P497" s="6"/>
      <c r="Q497" s="6"/>
      <c r="R497" s="6"/>
      <c r="S497" s="6"/>
      <c r="T497" s="6"/>
      <c r="U497" s="6"/>
      <c r="V497" s="6"/>
      <c r="W497" s="6"/>
      <c r="X497" s="6"/>
    </row>
    <row r="498" hidden="1">
      <c r="A498" s="6"/>
      <c r="B498" s="6"/>
      <c r="C498" s="6"/>
      <c r="D498" s="6"/>
      <c r="E498" s="6"/>
      <c r="F498" s="6"/>
      <c r="G498" s="6" t="str">
        <f>IFERROR(__xludf.DUMMYFUNCTION("""COMPUTED_VALUE"""),"")</f>
        <v/>
      </c>
      <c r="H498" s="6"/>
      <c r="I498" s="6"/>
      <c r="J498" s="6"/>
      <c r="K498" s="6"/>
      <c r="L498" s="6"/>
      <c r="M498" s="6"/>
      <c r="N498" s="6"/>
      <c r="O498" s="6"/>
      <c r="P498" s="6"/>
      <c r="Q498" s="6"/>
      <c r="R498" s="6"/>
      <c r="S498" s="6"/>
      <c r="T498" s="6"/>
      <c r="U498" s="6"/>
      <c r="V498" s="6"/>
      <c r="W498" s="6"/>
      <c r="X498" s="6"/>
    </row>
    <row r="499" hidden="1">
      <c r="A499" s="6"/>
      <c r="B499" s="6"/>
      <c r="C499" s="6"/>
      <c r="D499" s="6"/>
      <c r="E499" s="6"/>
      <c r="F499" s="6"/>
      <c r="G499" s="6" t="str">
        <f>IFERROR(__xludf.DUMMYFUNCTION("""COMPUTED_VALUE"""),"")</f>
        <v/>
      </c>
      <c r="H499" s="6"/>
      <c r="I499" s="6"/>
      <c r="J499" s="6"/>
      <c r="K499" s="6"/>
      <c r="L499" s="6"/>
      <c r="M499" s="6"/>
      <c r="N499" s="6"/>
      <c r="O499" s="6"/>
      <c r="P499" s="6"/>
      <c r="Q499" s="6"/>
      <c r="R499" s="6"/>
      <c r="S499" s="6"/>
      <c r="T499" s="6"/>
      <c r="U499" s="6"/>
      <c r="V499" s="6"/>
      <c r="W499" s="6"/>
      <c r="X499" s="6"/>
    </row>
    <row r="500" hidden="1">
      <c r="A500" s="6"/>
      <c r="B500" s="6"/>
      <c r="C500" s="6"/>
      <c r="D500" s="6"/>
      <c r="E500" s="6"/>
      <c r="F500" s="6"/>
      <c r="G500" s="6" t="str">
        <f>IFERROR(__xludf.DUMMYFUNCTION("""COMPUTED_VALUE"""),"")</f>
        <v/>
      </c>
      <c r="H500" s="6"/>
      <c r="I500" s="6"/>
      <c r="J500" s="6"/>
      <c r="K500" s="6"/>
      <c r="L500" s="6"/>
      <c r="M500" s="6"/>
      <c r="N500" s="6"/>
      <c r="O500" s="6"/>
      <c r="P500" s="6"/>
      <c r="Q500" s="6"/>
      <c r="R500" s="6"/>
      <c r="S500" s="6"/>
      <c r="T500" s="6"/>
      <c r="U500" s="6"/>
      <c r="V500" s="6"/>
      <c r="W500" s="6"/>
      <c r="X500" s="6"/>
    </row>
    <row r="501" hidden="1">
      <c r="A501" s="6"/>
      <c r="B501" s="6"/>
      <c r="C501" s="6"/>
      <c r="D501" s="6"/>
      <c r="E501" s="6"/>
      <c r="F501" s="6"/>
      <c r="G501" s="6" t="str">
        <f>IFERROR(__xludf.DUMMYFUNCTION("""COMPUTED_VALUE"""),"")</f>
        <v/>
      </c>
      <c r="H501" s="6"/>
      <c r="I501" s="6"/>
      <c r="J501" s="6"/>
      <c r="K501" s="6"/>
      <c r="L501" s="6"/>
      <c r="M501" s="6"/>
      <c r="N501" s="6"/>
      <c r="O501" s="6"/>
      <c r="P501" s="6"/>
      <c r="Q501" s="6"/>
      <c r="R501" s="6"/>
      <c r="S501" s="6"/>
      <c r="T501" s="6"/>
      <c r="U501" s="6"/>
      <c r="V501" s="6"/>
      <c r="W501" s="6"/>
      <c r="X501" s="6"/>
    </row>
    <row r="502" hidden="1">
      <c r="A502" s="6"/>
      <c r="B502" s="6"/>
      <c r="C502" s="6"/>
      <c r="D502" s="6"/>
      <c r="E502" s="6"/>
      <c r="F502" s="6"/>
      <c r="G502" s="6" t="str">
        <f>IFERROR(__xludf.DUMMYFUNCTION("""COMPUTED_VALUE"""),"")</f>
        <v/>
      </c>
      <c r="H502" s="6"/>
      <c r="I502" s="6"/>
      <c r="J502" s="6"/>
      <c r="K502" s="6"/>
      <c r="L502" s="6"/>
      <c r="M502" s="6"/>
      <c r="N502" s="6"/>
      <c r="O502" s="6"/>
      <c r="P502" s="6"/>
      <c r="Q502" s="6"/>
      <c r="R502" s="6"/>
      <c r="S502" s="6"/>
      <c r="T502" s="6"/>
      <c r="U502" s="6"/>
      <c r="V502" s="6"/>
      <c r="W502" s="6"/>
      <c r="X502" s="6"/>
    </row>
    <row r="503" hidden="1">
      <c r="A503" s="6"/>
      <c r="B503" s="6"/>
      <c r="C503" s="6"/>
      <c r="D503" s="6"/>
      <c r="E503" s="6"/>
      <c r="F503" s="6"/>
      <c r="G503" s="6" t="str">
        <f>IFERROR(__xludf.DUMMYFUNCTION("""COMPUTED_VALUE"""),"")</f>
        <v/>
      </c>
      <c r="H503" s="6"/>
      <c r="I503" s="6"/>
      <c r="J503" s="6"/>
      <c r="K503" s="6"/>
      <c r="L503" s="6"/>
      <c r="M503" s="6"/>
      <c r="N503" s="6"/>
      <c r="O503" s="6"/>
      <c r="P503" s="6"/>
      <c r="Q503" s="6"/>
      <c r="R503" s="6"/>
      <c r="S503" s="6"/>
      <c r="T503" s="6"/>
      <c r="U503" s="6"/>
      <c r="V503" s="6"/>
      <c r="W503" s="6"/>
      <c r="X503" s="6"/>
    </row>
    <row r="504" hidden="1">
      <c r="A504" s="6"/>
      <c r="B504" s="6"/>
      <c r="C504" s="6"/>
      <c r="D504" s="6"/>
      <c r="E504" s="6"/>
      <c r="F504" s="6"/>
      <c r="G504" s="6" t="str">
        <f>IFERROR(__xludf.DUMMYFUNCTION("""COMPUTED_VALUE"""),"")</f>
        <v/>
      </c>
      <c r="H504" s="6"/>
      <c r="I504" s="6"/>
      <c r="J504" s="6"/>
      <c r="K504" s="6"/>
      <c r="L504" s="6"/>
      <c r="M504" s="6"/>
      <c r="N504" s="6"/>
      <c r="O504" s="6"/>
      <c r="P504" s="6"/>
      <c r="Q504" s="6"/>
      <c r="R504" s="6"/>
      <c r="S504" s="6"/>
      <c r="T504" s="6"/>
      <c r="U504" s="6"/>
      <c r="V504" s="6"/>
      <c r="W504" s="6"/>
      <c r="X504" s="6"/>
    </row>
    <row r="505" hidden="1">
      <c r="A505" s="6"/>
      <c r="B505" s="6"/>
      <c r="C505" s="6"/>
      <c r="D505" s="6"/>
      <c r="E505" s="6"/>
      <c r="F505" s="6"/>
      <c r="G505" s="6" t="str">
        <f>IFERROR(__xludf.DUMMYFUNCTION("""COMPUTED_VALUE"""),"")</f>
        <v/>
      </c>
      <c r="H505" s="6"/>
      <c r="I505" s="6"/>
      <c r="J505" s="6"/>
      <c r="K505" s="6"/>
      <c r="L505" s="6"/>
      <c r="M505" s="6"/>
      <c r="N505" s="6"/>
      <c r="O505" s="6"/>
      <c r="P505" s="6"/>
      <c r="Q505" s="6"/>
      <c r="R505" s="6"/>
      <c r="S505" s="6"/>
      <c r="T505" s="6"/>
      <c r="U505" s="6"/>
      <c r="V505" s="6"/>
      <c r="W505" s="6"/>
      <c r="X505" s="6"/>
    </row>
    <row r="506" hidden="1">
      <c r="A506" s="6"/>
      <c r="B506" s="6"/>
      <c r="C506" s="6"/>
      <c r="D506" s="6"/>
      <c r="E506" s="6"/>
      <c r="F506" s="6"/>
      <c r="G506" s="6" t="str">
        <f>IFERROR(__xludf.DUMMYFUNCTION("""COMPUTED_VALUE"""),"")</f>
        <v/>
      </c>
      <c r="H506" s="6"/>
      <c r="I506" s="6"/>
      <c r="J506" s="6"/>
      <c r="K506" s="6"/>
      <c r="L506" s="6"/>
      <c r="M506" s="6"/>
      <c r="N506" s="6"/>
      <c r="O506" s="6"/>
      <c r="P506" s="6"/>
      <c r="Q506" s="6"/>
      <c r="R506" s="6"/>
      <c r="S506" s="6"/>
      <c r="T506" s="6"/>
      <c r="U506" s="6"/>
      <c r="V506" s="6"/>
      <c r="W506" s="6"/>
      <c r="X506" s="6"/>
    </row>
    <row r="507" hidden="1">
      <c r="A507" s="6"/>
      <c r="B507" s="6"/>
      <c r="C507" s="6"/>
      <c r="D507" s="6"/>
      <c r="E507" s="6"/>
      <c r="F507" s="6"/>
      <c r="G507" s="6" t="str">
        <f>IFERROR(__xludf.DUMMYFUNCTION("""COMPUTED_VALUE"""),"")</f>
        <v/>
      </c>
      <c r="H507" s="6"/>
      <c r="I507" s="6"/>
      <c r="J507" s="6"/>
      <c r="K507" s="6"/>
      <c r="L507" s="6"/>
      <c r="M507" s="6"/>
      <c r="N507" s="6"/>
      <c r="O507" s="6"/>
      <c r="P507" s="6"/>
      <c r="Q507" s="6"/>
      <c r="R507" s="6"/>
      <c r="S507" s="6"/>
      <c r="T507" s="6"/>
      <c r="U507" s="6"/>
      <c r="V507" s="6"/>
      <c r="W507" s="6"/>
      <c r="X507" s="6"/>
    </row>
    <row r="508" hidden="1">
      <c r="A508" s="6"/>
      <c r="B508" s="6"/>
      <c r="C508" s="6"/>
      <c r="D508" s="6"/>
      <c r="E508" s="6"/>
      <c r="F508" s="6"/>
      <c r="G508" s="6" t="str">
        <f>IFERROR(__xludf.DUMMYFUNCTION("""COMPUTED_VALUE"""),"")</f>
        <v/>
      </c>
      <c r="H508" s="6"/>
      <c r="I508" s="6"/>
      <c r="J508" s="6"/>
      <c r="K508" s="6"/>
      <c r="L508" s="6"/>
      <c r="M508" s="6"/>
      <c r="N508" s="6"/>
      <c r="O508" s="6"/>
      <c r="P508" s="6"/>
      <c r="Q508" s="6"/>
      <c r="R508" s="6"/>
      <c r="S508" s="6"/>
      <c r="T508" s="6"/>
      <c r="U508" s="6"/>
      <c r="V508" s="6"/>
      <c r="W508" s="6"/>
      <c r="X508" s="6"/>
    </row>
    <row r="509" hidden="1">
      <c r="A509" s="6"/>
      <c r="B509" s="6"/>
      <c r="C509" s="6"/>
      <c r="D509" s="6"/>
      <c r="E509" s="6"/>
      <c r="F509" s="6"/>
      <c r="G509" s="6" t="str">
        <f>IFERROR(__xludf.DUMMYFUNCTION("""COMPUTED_VALUE"""),"")</f>
        <v/>
      </c>
      <c r="H509" s="6"/>
      <c r="I509" s="6"/>
      <c r="J509" s="6"/>
      <c r="K509" s="6"/>
      <c r="L509" s="6"/>
      <c r="M509" s="6"/>
      <c r="N509" s="6"/>
      <c r="O509" s="6"/>
      <c r="P509" s="6"/>
      <c r="Q509" s="6"/>
      <c r="R509" s="6"/>
      <c r="S509" s="6"/>
      <c r="T509" s="6"/>
      <c r="U509" s="6"/>
      <c r="V509" s="6"/>
      <c r="W509" s="6"/>
      <c r="X509" s="6"/>
    </row>
    <row r="510" hidden="1">
      <c r="A510" s="6"/>
      <c r="B510" s="6"/>
      <c r="C510" s="6"/>
      <c r="D510" s="6"/>
      <c r="E510" s="6"/>
      <c r="F510" s="6"/>
      <c r="G510" s="6" t="str">
        <f>IFERROR(__xludf.DUMMYFUNCTION("""COMPUTED_VALUE"""),"")</f>
        <v/>
      </c>
      <c r="H510" s="6"/>
      <c r="I510" s="6"/>
      <c r="J510" s="6"/>
      <c r="K510" s="6"/>
      <c r="L510" s="6"/>
      <c r="M510" s="6"/>
      <c r="N510" s="6"/>
      <c r="O510" s="6"/>
      <c r="P510" s="6"/>
      <c r="Q510" s="6"/>
      <c r="R510" s="6"/>
      <c r="S510" s="6"/>
      <c r="T510" s="6"/>
      <c r="U510" s="6"/>
      <c r="V510" s="6"/>
      <c r="W510" s="6"/>
      <c r="X510" s="6"/>
    </row>
    <row r="511" hidden="1">
      <c r="A511" s="6"/>
      <c r="B511" s="6"/>
      <c r="C511" s="6"/>
      <c r="D511" s="6"/>
      <c r="E511" s="6"/>
      <c r="F511" s="6"/>
      <c r="G511" s="6" t="str">
        <f>IFERROR(__xludf.DUMMYFUNCTION("""COMPUTED_VALUE"""),"")</f>
        <v/>
      </c>
      <c r="H511" s="6"/>
      <c r="I511" s="6"/>
      <c r="J511" s="6"/>
      <c r="K511" s="6"/>
      <c r="L511" s="6"/>
      <c r="M511" s="6"/>
      <c r="N511" s="6"/>
      <c r="O511" s="6"/>
      <c r="P511" s="6"/>
      <c r="Q511" s="6"/>
      <c r="R511" s="6"/>
      <c r="S511" s="6"/>
      <c r="T511" s="6"/>
      <c r="U511" s="6"/>
      <c r="V511" s="6"/>
      <c r="W511" s="6"/>
      <c r="X511" s="6"/>
    </row>
    <row r="512" hidden="1">
      <c r="A512" s="6"/>
      <c r="B512" s="6"/>
      <c r="C512" s="6"/>
      <c r="D512" s="6"/>
      <c r="E512" s="6"/>
      <c r="F512" s="6"/>
      <c r="G512" s="6" t="str">
        <f>IFERROR(__xludf.DUMMYFUNCTION("""COMPUTED_VALUE"""),"")</f>
        <v/>
      </c>
      <c r="H512" s="6"/>
      <c r="I512" s="6"/>
      <c r="J512" s="6"/>
      <c r="K512" s="6"/>
      <c r="L512" s="6"/>
      <c r="M512" s="6"/>
      <c r="N512" s="6"/>
      <c r="O512" s="6"/>
      <c r="P512" s="6"/>
      <c r="Q512" s="6"/>
      <c r="R512" s="6"/>
      <c r="S512" s="6"/>
      <c r="T512" s="6"/>
      <c r="U512" s="6"/>
      <c r="V512" s="6"/>
      <c r="W512" s="6"/>
      <c r="X512" s="6"/>
    </row>
    <row r="513" hidden="1">
      <c r="A513" s="6"/>
      <c r="B513" s="6"/>
      <c r="C513" s="6"/>
      <c r="D513" s="6"/>
      <c r="E513" s="6"/>
      <c r="F513" s="6"/>
      <c r="G513" s="6" t="str">
        <f>IFERROR(__xludf.DUMMYFUNCTION("""COMPUTED_VALUE"""),"")</f>
        <v/>
      </c>
      <c r="H513" s="6"/>
      <c r="I513" s="6"/>
      <c r="J513" s="6"/>
      <c r="K513" s="6"/>
      <c r="L513" s="6"/>
      <c r="M513" s="6"/>
      <c r="N513" s="6"/>
      <c r="O513" s="6"/>
      <c r="P513" s="6"/>
      <c r="Q513" s="6"/>
      <c r="R513" s="6"/>
      <c r="S513" s="6"/>
      <c r="T513" s="6"/>
      <c r="U513" s="6"/>
      <c r="V513" s="6"/>
      <c r="W513" s="6"/>
      <c r="X513" s="6"/>
    </row>
    <row r="514" hidden="1">
      <c r="A514" s="6"/>
      <c r="B514" s="6"/>
      <c r="C514" s="6"/>
      <c r="D514" s="6"/>
      <c r="E514" s="6"/>
      <c r="F514" s="6"/>
      <c r="G514" s="6" t="str">
        <f>IFERROR(__xludf.DUMMYFUNCTION("""COMPUTED_VALUE"""),"")</f>
        <v/>
      </c>
      <c r="H514" s="6"/>
      <c r="I514" s="6"/>
      <c r="J514" s="6"/>
      <c r="K514" s="6"/>
      <c r="L514" s="6"/>
      <c r="M514" s="6"/>
      <c r="N514" s="6"/>
      <c r="O514" s="6"/>
      <c r="P514" s="6"/>
      <c r="Q514" s="6"/>
      <c r="R514" s="6"/>
      <c r="S514" s="6"/>
      <c r="T514" s="6"/>
      <c r="U514" s="6"/>
      <c r="V514" s="6"/>
      <c r="W514" s="6"/>
      <c r="X514" s="6"/>
    </row>
    <row r="515" hidden="1">
      <c r="A515" s="6"/>
      <c r="B515" s="6"/>
      <c r="C515" s="6"/>
      <c r="D515" s="6"/>
      <c r="E515" s="6"/>
      <c r="F515" s="6"/>
      <c r="G515" s="6" t="str">
        <f>IFERROR(__xludf.DUMMYFUNCTION("""COMPUTED_VALUE"""),"")</f>
        <v/>
      </c>
      <c r="H515" s="6"/>
      <c r="I515" s="6"/>
      <c r="J515" s="6"/>
      <c r="K515" s="6"/>
      <c r="L515" s="6"/>
      <c r="M515" s="6"/>
      <c r="N515" s="6"/>
      <c r="O515" s="6"/>
      <c r="P515" s="6"/>
      <c r="Q515" s="6"/>
      <c r="R515" s="6"/>
      <c r="S515" s="6"/>
      <c r="T515" s="6"/>
      <c r="U515" s="6"/>
      <c r="V515" s="6"/>
      <c r="W515" s="6"/>
      <c r="X515" s="6"/>
    </row>
    <row r="516" hidden="1">
      <c r="A516" s="6"/>
      <c r="B516" s="6"/>
      <c r="C516" s="6"/>
      <c r="D516" s="6"/>
      <c r="E516" s="6"/>
      <c r="F516" s="6"/>
      <c r="G516" s="6" t="str">
        <f>IFERROR(__xludf.DUMMYFUNCTION("""COMPUTED_VALUE"""),"")</f>
        <v/>
      </c>
      <c r="H516" s="6"/>
      <c r="I516" s="6"/>
      <c r="J516" s="6"/>
      <c r="K516" s="6"/>
      <c r="L516" s="6"/>
      <c r="M516" s="6"/>
      <c r="N516" s="6"/>
      <c r="O516" s="6"/>
      <c r="P516" s="6"/>
      <c r="Q516" s="6"/>
      <c r="R516" s="6"/>
      <c r="S516" s="6"/>
      <c r="T516" s="6"/>
      <c r="U516" s="6"/>
      <c r="V516" s="6"/>
      <c r="W516" s="6"/>
      <c r="X516" s="6"/>
    </row>
    <row r="517" hidden="1">
      <c r="A517" s="6"/>
      <c r="B517" s="6"/>
      <c r="C517" s="6"/>
      <c r="D517" s="6"/>
      <c r="E517" s="6"/>
      <c r="F517" s="6"/>
      <c r="G517" s="6" t="str">
        <f>IFERROR(__xludf.DUMMYFUNCTION("""COMPUTED_VALUE"""),"")</f>
        <v/>
      </c>
      <c r="H517" s="6"/>
      <c r="I517" s="6"/>
      <c r="J517" s="6"/>
      <c r="K517" s="6"/>
      <c r="L517" s="6"/>
      <c r="M517" s="6"/>
      <c r="N517" s="6"/>
      <c r="O517" s="6"/>
      <c r="P517" s="6"/>
      <c r="Q517" s="6"/>
      <c r="R517" s="6"/>
      <c r="S517" s="6"/>
      <c r="T517" s="6"/>
      <c r="U517" s="6"/>
      <c r="V517" s="6"/>
      <c r="W517" s="6"/>
      <c r="X517" s="6"/>
    </row>
    <row r="518" hidden="1">
      <c r="A518" s="6"/>
      <c r="B518" s="6"/>
      <c r="C518" s="6"/>
      <c r="D518" s="6"/>
      <c r="E518" s="6"/>
      <c r="F518" s="6"/>
      <c r="G518" s="6" t="str">
        <f>IFERROR(__xludf.DUMMYFUNCTION("""COMPUTED_VALUE"""),"")</f>
        <v/>
      </c>
      <c r="H518" s="6"/>
      <c r="I518" s="6"/>
      <c r="J518" s="6"/>
      <c r="K518" s="6"/>
      <c r="L518" s="6"/>
      <c r="M518" s="6"/>
      <c r="N518" s="6"/>
      <c r="O518" s="6"/>
      <c r="P518" s="6"/>
      <c r="Q518" s="6"/>
      <c r="R518" s="6"/>
      <c r="S518" s="6"/>
      <c r="T518" s="6"/>
      <c r="U518" s="6"/>
      <c r="V518" s="6"/>
      <c r="W518" s="6"/>
      <c r="X518" s="6"/>
    </row>
    <row r="519" hidden="1">
      <c r="A519" s="6"/>
      <c r="B519" s="6"/>
      <c r="C519" s="6"/>
      <c r="D519" s="6"/>
      <c r="E519" s="6"/>
      <c r="F519" s="6"/>
      <c r="G519" s="6" t="str">
        <f>IFERROR(__xludf.DUMMYFUNCTION("""COMPUTED_VALUE"""),"")</f>
        <v/>
      </c>
      <c r="H519" s="6"/>
      <c r="I519" s="6"/>
      <c r="J519" s="6"/>
      <c r="K519" s="6"/>
      <c r="L519" s="6"/>
      <c r="M519" s="6"/>
      <c r="N519" s="6"/>
      <c r="O519" s="6"/>
      <c r="P519" s="6"/>
      <c r="Q519" s="6"/>
      <c r="R519" s="6"/>
      <c r="S519" s="6"/>
      <c r="T519" s="6"/>
      <c r="U519" s="6"/>
      <c r="V519" s="6"/>
      <c r="W519" s="6"/>
      <c r="X519" s="6"/>
    </row>
    <row r="520" hidden="1">
      <c r="A520" s="6"/>
      <c r="B520" s="6"/>
      <c r="C520" s="6"/>
      <c r="D520" s="6"/>
      <c r="E520" s="6"/>
      <c r="F520" s="6"/>
      <c r="G520" s="6" t="str">
        <f>IFERROR(__xludf.DUMMYFUNCTION("""COMPUTED_VALUE"""),"")</f>
        <v/>
      </c>
      <c r="H520" s="6"/>
      <c r="I520" s="6"/>
      <c r="J520" s="6"/>
      <c r="K520" s="6"/>
      <c r="L520" s="6"/>
      <c r="M520" s="6"/>
      <c r="N520" s="6"/>
      <c r="O520" s="6"/>
      <c r="P520" s="6"/>
      <c r="Q520" s="6"/>
      <c r="R520" s="6"/>
      <c r="S520" s="6"/>
      <c r="T520" s="6"/>
      <c r="U520" s="6"/>
      <c r="V520" s="6"/>
      <c r="W520" s="6"/>
      <c r="X520" s="6"/>
    </row>
    <row r="521" hidden="1">
      <c r="A521" s="6"/>
      <c r="B521" s="6"/>
      <c r="C521" s="6"/>
      <c r="D521" s="6"/>
      <c r="E521" s="6"/>
      <c r="F521" s="6"/>
      <c r="G521" s="6" t="str">
        <f>IFERROR(__xludf.DUMMYFUNCTION("""COMPUTED_VALUE"""),"")</f>
        <v/>
      </c>
      <c r="H521" s="6"/>
      <c r="I521" s="6"/>
      <c r="J521" s="6"/>
      <c r="K521" s="6"/>
      <c r="L521" s="6"/>
      <c r="M521" s="6"/>
      <c r="N521" s="6"/>
      <c r="O521" s="6"/>
      <c r="P521" s="6"/>
      <c r="Q521" s="6"/>
      <c r="R521" s="6"/>
      <c r="S521" s="6"/>
      <c r="T521" s="6"/>
      <c r="U521" s="6"/>
      <c r="V521" s="6"/>
      <c r="W521" s="6"/>
      <c r="X521" s="6"/>
    </row>
    <row r="522" hidden="1">
      <c r="A522" s="6"/>
      <c r="B522" s="6"/>
      <c r="C522" s="6"/>
      <c r="D522" s="6"/>
      <c r="E522" s="6"/>
      <c r="F522" s="6"/>
      <c r="G522" s="6" t="str">
        <f>IFERROR(__xludf.DUMMYFUNCTION("""COMPUTED_VALUE"""),"")</f>
        <v/>
      </c>
      <c r="H522" s="6"/>
      <c r="I522" s="6"/>
      <c r="J522" s="6"/>
      <c r="K522" s="6"/>
      <c r="L522" s="6"/>
      <c r="M522" s="6"/>
      <c r="N522" s="6"/>
      <c r="O522" s="6"/>
      <c r="P522" s="6"/>
      <c r="Q522" s="6"/>
      <c r="R522" s="6"/>
      <c r="S522" s="6"/>
      <c r="T522" s="6"/>
      <c r="U522" s="6"/>
      <c r="V522" s="6"/>
      <c r="W522" s="6"/>
      <c r="X522" s="6"/>
    </row>
    <row r="523" hidden="1">
      <c r="A523" s="6"/>
      <c r="B523" s="6"/>
      <c r="C523" s="6"/>
      <c r="D523" s="6"/>
      <c r="E523" s="6"/>
      <c r="F523" s="6"/>
      <c r="G523" s="6" t="str">
        <f>IFERROR(__xludf.DUMMYFUNCTION("""COMPUTED_VALUE"""),"")</f>
        <v/>
      </c>
      <c r="H523" s="6"/>
      <c r="I523" s="6"/>
      <c r="J523" s="6"/>
      <c r="K523" s="6"/>
      <c r="L523" s="6"/>
      <c r="M523" s="6"/>
      <c r="N523" s="6"/>
      <c r="O523" s="6"/>
      <c r="P523" s="6"/>
      <c r="Q523" s="6"/>
      <c r="R523" s="6"/>
      <c r="S523" s="6"/>
      <c r="T523" s="6"/>
      <c r="U523" s="6"/>
      <c r="V523" s="6"/>
      <c r="W523" s="6"/>
      <c r="X523" s="6"/>
    </row>
    <row r="524" hidden="1">
      <c r="A524" s="6"/>
      <c r="B524" s="6"/>
      <c r="C524" s="6"/>
      <c r="D524" s="6"/>
      <c r="E524" s="6"/>
      <c r="F524" s="6"/>
      <c r="G524" s="6" t="str">
        <f>IFERROR(__xludf.DUMMYFUNCTION("""COMPUTED_VALUE"""),"")</f>
        <v/>
      </c>
      <c r="H524" s="6"/>
      <c r="I524" s="6"/>
      <c r="J524" s="6"/>
      <c r="K524" s="6"/>
      <c r="L524" s="6"/>
      <c r="M524" s="6"/>
      <c r="N524" s="6"/>
      <c r="O524" s="6"/>
      <c r="P524" s="6"/>
      <c r="Q524" s="6"/>
      <c r="R524" s="6"/>
      <c r="S524" s="6"/>
      <c r="T524" s="6"/>
      <c r="U524" s="6"/>
      <c r="V524" s="6"/>
      <c r="W524" s="6"/>
      <c r="X524" s="6"/>
    </row>
    <row r="525" hidden="1">
      <c r="A525" s="6"/>
      <c r="B525" s="6"/>
      <c r="C525" s="6"/>
      <c r="D525" s="6"/>
      <c r="E525" s="6"/>
      <c r="F525" s="6"/>
      <c r="G525" s="6" t="str">
        <f>IFERROR(__xludf.DUMMYFUNCTION("""COMPUTED_VALUE"""),"")</f>
        <v/>
      </c>
      <c r="H525" s="6"/>
      <c r="I525" s="6"/>
      <c r="J525" s="6"/>
      <c r="K525" s="6"/>
      <c r="L525" s="6"/>
      <c r="M525" s="6"/>
      <c r="N525" s="6"/>
      <c r="O525" s="6"/>
      <c r="P525" s="6"/>
      <c r="Q525" s="6"/>
      <c r="R525" s="6"/>
      <c r="S525" s="6"/>
      <c r="T525" s="6"/>
      <c r="U525" s="6"/>
      <c r="V525" s="6"/>
      <c r="W525" s="6"/>
      <c r="X525" s="6"/>
    </row>
    <row r="526" hidden="1">
      <c r="A526" s="6"/>
      <c r="B526" s="6"/>
      <c r="C526" s="6"/>
      <c r="D526" s="6"/>
      <c r="E526" s="6"/>
      <c r="F526" s="6"/>
      <c r="G526" s="6" t="str">
        <f>IFERROR(__xludf.DUMMYFUNCTION("""COMPUTED_VALUE"""),"")</f>
        <v/>
      </c>
      <c r="H526" s="6"/>
      <c r="I526" s="6"/>
      <c r="J526" s="6"/>
      <c r="K526" s="6"/>
      <c r="L526" s="6"/>
      <c r="M526" s="6"/>
      <c r="N526" s="6"/>
      <c r="O526" s="6"/>
      <c r="P526" s="6"/>
      <c r="Q526" s="6"/>
      <c r="R526" s="6"/>
      <c r="S526" s="6"/>
      <c r="T526" s="6"/>
      <c r="U526" s="6"/>
      <c r="V526" s="6"/>
      <c r="W526" s="6"/>
      <c r="X526" s="6"/>
    </row>
    <row r="527" hidden="1">
      <c r="A527" s="6"/>
      <c r="B527" s="6"/>
      <c r="C527" s="6"/>
      <c r="D527" s="6"/>
      <c r="E527" s="6"/>
      <c r="F527" s="6"/>
      <c r="G527" s="6" t="str">
        <f>IFERROR(__xludf.DUMMYFUNCTION("""COMPUTED_VALUE"""),"")</f>
        <v/>
      </c>
      <c r="H527" s="6"/>
      <c r="I527" s="6"/>
      <c r="J527" s="6"/>
      <c r="K527" s="6"/>
      <c r="L527" s="6"/>
      <c r="M527" s="6"/>
      <c r="N527" s="6"/>
      <c r="O527" s="6"/>
      <c r="P527" s="6"/>
      <c r="Q527" s="6"/>
      <c r="R527" s="6"/>
      <c r="S527" s="6"/>
      <c r="T527" s="6"/>
      <c r="U527" s="6"/>
      <c r="V527" s="6"/>
      <c r="W527" s="6"/>
      <c r="X527" s="6"/>
    </row>
    <row r="528" hidden="1">
      <c r="A528" s="6"/>
      <c r="B528" s="6"/>
      <c r="C528" s="6"/>
      <c r="D528" s="6"/>
      <c r="E528" s="6"/>
      <c r="F528" s="6"/>
      <c r="G528" s="6" t="str">
        <f>IFERROR(__xludf.DUMMYFUNCTION("""COMPUTED_VALUE"""),"")</f>
        <v/>
      </c>
      <c r="H528" s="6"/>
      <c r="I528" s="6"/>
      <c r="J528" s="6"/>
      <c r="K528" s="6"/>
      <c r="L528" s="6"/>
      <c r="M528" s="6"/>
      <c r="N528" s="6"/>
      <c r="O528" s="6"/>
      <c r="P528" s="6"/>
      <c r="Q528" s="6"/>
      <c r="R528" s="6"/>
      <c r="S528" s="6"/>
      <c r="T528" s="6"/>
      <c r="U528" s="6"/>
      <c r="V528" s="6"/>
      <c r="W528" s="6"/>
      <c r="X528" s="6"/>
    </row>
    <row r="529" hidden="1">
      <c r="A529" s="6"/>
      <c r="B529" s="6"/>
      <c r="C529" s="6"/>
      <c r="D529" s="6"/>
      <c r="E529" s="6"/>
      <c r="F529" s="6"/>
      <c r="G529" s="6" t="str">
        <f>IFERROR(__xludf.DUMMYFUNCTION("""COMPUTED_VALUE"""),"")</f>
        <v/>
      </c>
      <c r="H529" s="6"/>
      <c r="I529" s="6"/>
      <c r="J529" s="6"/>
      <c r="K529" s="6"/>
      <c r="L529" s="6"/>
      <c r="M529" s="6"/>
      <c r="N529" s="6"/>
      <c r="O529" s="6"/>
      <c r="P529" s="6"/>
      <c r="Q529" s="6"/>
      <c r="R529" s="6"/>
      <c r="S529" s="6"/>
      <c r="T529" s="6"/>
      <c r="U529" s="6"/>
      <c r="V529" s="6"/>
      <c r="W529" s="6"/>
      <c r="X529" s="6"/>
    </row>
    <row r="530" hidden="1">
      <c r="A530" s="6"/>
      <c r="B530" s="6"/>
      <c r="C530" s="6"/>
      <c r="D530" s="6"/>
      <c r="E530" s="6"/>
      <c r="F530" s="6"/>
      <c r="G530" s="6" t="str">
        <f>IFERROR(__xludf.DUMMYFUNCTION("""COMPUTED_VALUE"""),"")</f>
        <v/>
      </c>
      <c r="H530" s="6"/>
      <c r="I530" s="6"/>
      <c r="J530" s="6"/>
      <c r="K530" s="6"/>
      <c r="L530" s="6"/>
      <c r="M530" s="6"/>
      <c r="N530" s="6"/>
      <c r="O530" s="6"/>
      <c r="P530" s="6"/>
      <c r="Q530" s="6"/>
      <c r="R530" s="6"/>
      <c r="S530" s="6"/>
      <c r="T530" s="6"/>
      <c r="U530" s="6"/>
      <c r="V530" s="6"/>
      <c r="W530" s="6"/>
      <c r="X530" s="6"/>
    </row>
    <row r="531" hidden="1">
      <c r="A531" s="6"/>
      <c r="B531" s="6"/>
      <c r="C531" s="6"/>
      <c r="D531" s="6"/>
      <c r="E531" s="6"/>
      <c r="F531" s="6"/>
      <c r="G531" s="6" t="str">
        <f>IFERROR(__xludf.DUMMYFUNCTION("""COMPUTED_VALUE"""),"")</f>
        <v/>
      </c>
      <c r="H531" s="6"/>
      <c r="I531" s="6"/>
      <c r="J531" s="6"/>
      <c r="K531" s="6"/>
      <c r="L531" s="6"/>
      <c r="M531" s="6"/>
      <c r="N531" s="6"/>
      <c r="O531" s="6"/>
      <c r="P531" s="6"/>
      <c r="Q531" s="6"/>
      <c r="R531" s="6"/>
      <c r="S531" s="6"/>
      <c r="T531" s="6"/>
      <c r="U531" s="6"/>
      <c r="V531" s="6"/>
      <c r="W531" s="6"/>
      <c r="X531" s="6"/>
    </row>
    <row r="532" hidden="1">
      <c r="A532" s="6"/>
      <c r="B532" s="6"/>
      <c r="C532" s="6"/>
      <c r="D532" s="6"/>
      <c r="E532" s="6"/>
      <c r="F532" s="6"/>
      <c r="G532" s="6" t="str">
        <f>IFERROR(__xludf.DUMMYFUNCTION("""COMPUTED_VALUE"""),"")</f>
        <v/>
      </c>
      <c r="H532" s="6"/>
      <c r="I532" s="6"/>
      <c r="J532" s="6"/>
      <c r="K532" s="6"/>
      <c r="L532" s="6"/>
      <c r="M532" s="6"/>
      <c r="N532" s="6"/>
      <c r="O532" s="6"/>
      <c r="P532" s="6"/>
      <c r="Q532" s="6"/>
      <c r="R532" s="6"/>
      <c r="S532" s="6"/>
      <c r="T532" s="6"/>
      <c r="U532" s="6"/>
      <c r="V532" s="6"/>
      <c r="W532" s="6"/>
      <c r="X532" s="6"/>
    </row>
    <row r="533" hidden="1">
      <c r="A533" s="6"/>
      <c r="B533" s="6"/>
      <c r="C533" s="6"/>
      <c r="D533" s="6"/>
      <c r="E533" s="6"/>
      <c r="F533" s="6"/>
      <c r="G533" s="6" t="str">
        <f>IFERROR(__xludf.DUMMYFUNCTION("""COMPUTED_VALUE"""),"")</f>
        <v/>
      </c>
      <c r="H533" s="6"/>
      <c r="I533" s="6"/>
      <c r="J533" s="6"/>
      <c r="K533" s="6"/>
      <c r="L533" s="6"/>
      <c r="M533" s="6"/>
      <c r="N533" s="6"/>
      <c r="O533" s="6"/>
      <c r="P533" s="6"/>
      <c r="Q533" s="6"/>
      <c r="R533" s="6"/>
      <c r="S533" s="6"/>
      <c r="T533" s="6"/>
      <c r="U533" s="6"/>
      <c r="V533" s="6"/>
      <c r="W533" s="6"/>
      <c r="X533" s="6"/>
    </row>
    <row r="534" hidden="1">
      <c r="A534" s="6"/>
      <c r="B534" s="6"/>
      <c r="C534" s="6"/>
      <c r="D534" s="6"/>
      <c r="E534" s="6"/>
      <c r="F534" s="6"/>
      <c r="G534" s="6" t="str">
        <f>IFERROR(__xludf.DUMMYFUNCTION("""COMPUTED_VALUE"""),"")</f>
        <v/>
      </c>
      <c r="H534" s="6"/>
      <c r="I534" s="6"/>
      <c r="J534" s="6"/>
      <c r="K534" s="6"/>
      <c r="L534" s="6"/>
      <c r="M534" s="6"/>
      <c r="N534" s="6"/>
      <c r="O534" s="6"/>
      <c r="P534" s="6"/>
      <c r="Q534" s="6"/>
      <c r="R534" s="6"/>
      <c r="S534" s="6"/>
      <c r="T534" s="6"/>
      <c r="U534" s="6"/>
      <c r="V534" s="6"/>
      <c r="W534" s="6"/>
      <c r="X534" s="6"/>
    </row>
    <row r="535" hidden="1">
      <c r="A535" s="6"/>
      <c r="B535" s="6"/>
      <c r="C535" s="6"/>
      <c r="D535" s="6"/>
      <c r="E535" s="6"/>
      <c r="F535" s="6"/>
      <c r="G535" s="6" t="str">
        <f>IFERROR(__xludf.DUMMYFUNCTION("""COMPUTED_VALUE"""),"")</f>
        <v/>
      </c>
      <c r="H535" s="6"/>
      <c r="I535" s="6"/>
      <c r="J535" s="6"/>
      <c r="K535" s="6"/>
      <c r="L535" s="6"/>
      <c r="M535" s="6"/>
      <c r="N535" s="6"/>
      <c r="O535" s="6"/>
      <c r="P535" s="6"/>
      <c r="Q535" s="6"/>
      <c r="R535" s="6"/>
      <c r="S535" s="6"/>
      <c r="T535" s="6"/>
      <c r="U535" s="6"/>
      <c r="V535" s="6"/>
      <c r="W535" s="6"/>
      <c r="X535" s="6"/>
    </row>
    <row r="536" hidden="1">
      <c r="A536" s="6"/>
      <c r="B536" s="6"/>
      <c r="C536" s="6"/>
      <c r="D536" s="6"/>
      <c r="E536" s="6"/>
      <c r="F536" s="6"/>
      <c r="G536" s="6" t="str">
        <f>IFERROR(__xludf.DUMMYFUNCTION("""COMPUTED_VALUE"""),"")</f>
        <v/>
      </c>
      <c r="H536" s="6"/>
      <c r="I536" s="6"/>
      <c r="J536" s="6"/>
      <c r="K536" s="6"/>
      <c r="L536" s="6"/>
      <c r="M536" s="6"/>
      <c r="N536" s="6"/>
      <c r="O536" s="6"/>
      <c r="P536" s="6"/>
      <c r="Q536" s="6"/>
      <c r="R536" s="6"/>
      <c r="S536" s="6"/>
      <c r="T536" s="6"/>
      <c r="U536" s="6"/>
      <c r="V536" s="6"/>
      <c r="W536" s="6"/>
      <c r="X536" s="6"/>
    </row>
    <row r="537" hidden="1">
      <c r="A537" s="6"/>
      <c r="B537" s="6"/>
      <c r="C537" s="6"/>
      <c r="D537" s="6"/>
      <c r="E537" s="6"/>
      <c r="F537" s="6"/>
      <c r="G537" s="6" t="str">
        <f>IFERROR(__xludf.DUMMYFUNCTION("""COMPUTED_VALUE"""),"")</f>
        <v/>
      </c>
      <c r="H537" s="6"/>
      <c r="I537" s="6"/>
      <c r="J537" s="6"/>
      <c r="K537" s="6"/>
      <c r="L537" s="6"/>
      <c r="M537" s="6"/>
      <c r="N537" s="6"/>
      <c r="O537" s="6"/>
      <c r="P537" s="6"/>
      <c r="Q537" s="6"/>
      <c r="R537" s="6"/>
      <c r="S537" s="6"/>
      <c r="T537" s="6"/>
      <c r="U537" s="6"/>
      <c r="V537" s="6"/>
      <c r="W537" s="6"/>
      <c r="X537" s="6"/>
    </row>
    <row r="538" hidden="1">
      <c r="A538" s="6"/>
      <c r="B538" s="6"/>
      <c r="C538" s="6"/>
      <c r="D538" s="6"/>
      <c r="E538" s="6"/>
      <c r="F538" s="6"/>
      <c r="G538" s="6" t="str">
        <f>IFERROR(__xludf.DUMMYFUNCTION("""COMPUTED_VALUE"""),"")</f>
        <v/>
      </c>
      <c r="H538" s="6"/>
      <c r="I538" s="6"/>
      <c r="J538" s="6"/>
      <c r="K538" s="6"/>
      <c r="L538" s="6"/>
      <c r="M538" s="6"/>
      <c r="N538" s="6"/>
      <c r="O538" s="6"/>
      <c r="P538" s="6"/>
      <c r="Q538" s="6"/>
      <c r="R538" s="6"/>
      <c r="S538" s="6"/>
      <c r="T538" s="6"/>
      <c r="U538" s="6"/>
      <c r="V538" s="6"/>
      <c r="W538" s="6"/>
      <c r="X538" s="6"/>
    </row>
    <row r="539" hidden="1">
      <c r="A539" s="6"/>
      <c r="B539" s="6"/>
      <c r="C539" s="6"/>
      <c r="D539" s="6"/>
      <c r="E539" s="6"/>
      <c r="F539" s="6"/>
      <c r="G539" s="6" t="str">
        <f>IFERROR(__xludf.DUMMYFUNCTION("""COMPUTED_VALUE"""),"")</f>
        <v/>
      </c>
      <c r="H539" s="6"/>
      <c r="I539" s="6"/>
      <c r="J539" s="6"/>
      <c r="K539" s="6"/>
      <c r="L539" s="6"/>
      <c r="M539" s="6"/>
      <c r="N539" s="6"/>
      <c r="O539" s="6"/>
      <c r="P539" s="6"/>
      <c r="Q539" s="6"/>
      <c r="R539" s="6"/>
      <c r="S539" s="6"/>
      <c r="T539" s="6"/>
      <c r="U539" s="6"/>
      <c r="V539" s="6"/>
      <c r="W539" s="6"/>
      <c r="X539" s="6"/>
    </row>
    <row r="540" hidden="1">
      <c r="A540" s="6"/>
      <c r="B540" s="6"/>
      <c r="C540" s="6"/>
      <c r="D540" s="6"/>
      <c r="E540" s="6"/>
      <c r="F540" s="6"/>
      <c r="G540" s="6" t="str">
        <f>IFERROR(__xludf.DUMMYFUNCTION("""COMPUTED_VALUE"""),"")</f>
        <v/>
      </c>
      <c r="H540" s="6"/>
      <c r="I540" s="6"/>
      <c r="J540" s="6"/>
      <c r="K540" s="6"/>
      <c r="L540" s="6"/>
      <c r="M540" s="6"/>
      <c r="N540" s="6"/>
      <c r="O540" s="6"/>
      <c r="P540" s="6"/>
      <c r="Q540" s="6"/>
      <c r="R540" s="6"/>
      <c r="S540" s="6"/>
      <c r="T540" s="6"/>
      <c r="U540" s="6"/>
      <c r="V540" s="6"/>
      <c r="W540" s="6"/>
      <c r="X540" s="6"/>
    </row>
    <row r="541" hidden="1">
      <c r="A541" s="6"/>
      <c r="B541" s="6"/>
      <c r="C541" s="6"/>
      <c r="D541" s="6"/>
      <c r="E541" s="6"/>
      <c r="F541" s="6"/>
      <c r="G541" s="6" t="str">
        <f>IFERROR(__xludf.DUMMYFUNCTION("""COMPUTED_VALUE"""),"")</f>
        <v/>
      </c>
      <c r="H541" s="6"/>
      <c r="I541" s="6"/>
      <c r="J541" s="6"/>
      <c r="K541" s="6"/>
      <c r="L541" s="6"/>
      <c r="M541" s="6"/>
      <c r="N541" s="6"/>
      <c r="O541" s="6"/>
      <c r="P541" s="6"/>
      <c r="Q541" s="6"/>
      <c r="R541" s="6"/>
      <c r="S541" s="6"/>
      <c r="T541" s="6"/>
      <c r="U541" s="6"/>
      <c r="V541" s="6"/>
      <c r="W541" s="6"/>
      <c r="X541" s="6"/>
    </row>
    <row r="542" hidden="1">
      <c r="A542" s="6"/>
      <c r="B542" s="6"/>
      <c r="C542" s="6"/>
      <c r="D542" s="6"/>
      <c r="E542" s="6"/>
      <c r="F542" s="6"/>
      <c r="G542" s="6" t="str">
        <f>IFERROR(__xludf.DUMMYFUNCTION("""COMPUTED_VALUE"""),"")</f>
        <v/>
      </c>
      <c r="H542" s="6"/>
      <c r="I542" s="6"/>
      <c r="J542" s="6"/>
      <c r="K542" s="6"/>
      <c r="L542" s="6"/>
      <c r="M542" s="6"/>
      <c r="N542" s="6"/>
      <c r="O542" s="6"/>
      <c r="P542" s="6"/>
      <c r="Q542" s="6"/>
      <c r="R542" s="6"/>
      <c r="S542" s="6"/>
      <c r="T542" s="6"/>
      <c r="U542" s="6"/>
      <c r="V542" s="6"/>
      <c r="W542" s="6"/>
      <c r="X542" s="6"/>
    </row>
    <row r="543" hidden="1">
      <c r="A543" s="6"/>
      <c r="B543" s="6"/>
      <c r="C543" s="6"/>
      <c r="D543" s="6"/>
      <c r="E543" s="6"/>
      <c r="F543" s="6"/>
      <c r="G543" s="6" t="str">
        <f>IFERROR(__xludf.DUMMYFUNCTION("""COMPUTED_VALUE"""),"")</f>
        <v/>
      </c>
      <c r="H543" s="6"/>
      <c r="I543" s="6"/>
      <c r="J543" s="6"/>
      <c r="K543" s="6"/>
      <c r="L543" s="6"/>
      <c r="M543" s="6"/>
      <c r="N543" s="6"/>
      <c r="O543" s="6"/>
      <c r="P543" s="6"/>
      <c r="Q543" s="6"/>
      <c r="R543" s="6"/>
      <c r="S543" s="6"/>
      <c r="T543" s="6"/>
      <c r="U543" s="6"/>
      <c r="V543" s="6"/>
      <c r="W543" s="6"/>
      <c r="X543" s="6"/>
    </row>
    <row r="544" hidden="1">
      <c r="A544" s="6"/>
      <c r="B544" s="6"/>
      <c r="C544" s="6"/>
      <c r="D544" s="6"/>
      <c r="E544" s="6"/>
      <c r="F544" s="6"/>
      <c r="G544" s="6" t="str">
        <f>IFERROR(__xludf.DUMMYFUNCTION("""COMPUTED_VALUE"""),"")</f>
        <v/>
      </c>
      <c r="H544" s="6"/>
      <c r="I544" s="6"/>
      <c r="J544" s="6"/>
      <c r="K544" s="6"/>
      <c r="L544" s="6"/>
      <c r="M544" s="6"/>
      <c r="N544" s="6"/>
      <c r="O544" s="6"/>
      <c r="P544" s="6"/>
      <c r="Q544" s="6"/>
      <c r="R544" s="6"/>
      <c r="S544" s="6"/>
      <c r="T544" s="6"/>
      <c r="U544" s="6"/>
      <c r="V544" s="6"/>
      <c r="W544" s="6"/>
      <c r="X544" s="6"/>
    </row>
    <row r="545" hidden="1">
      <c r="A545" s="6"/>
      <c r="B545" s="6"/>
      <c r="C545" s="6"/>
      <c r="D545" s="6"/>
      <c r="E545" s="6"/>
      <c r="F545" s="6"/>
      <c r="G545" s="6" t="str">
        <f>IFERROR(__xludf.DUMMYFUNCTION("""COMPUTED_VALUE"""),"")</f>
        <v/>
      </c>
      <c r="H545" s="6"/>
      <c r="I545" s="6"/>
      <c r="J545" s="6"/>
      <c r="K545" s="6"/>
      <c r="L545" s="6"/>
      <c r="M545" s="6"/>
      <c r="N545" s="6"/>
      <c r="O545" s="6"/>
      <c r="P545" s="6"/>
      <c r="Q545" s="6"/>
      <c r="R545" s="6"/>
      <c r="S545" s="6"/>
      <c r="T545" s="6"/>
      <c r="U545" s="6"/>
      <c r="V545" s="6"/>
      <c r="W545" s="6"/>
      <c r="X545" s="6"/>
    </row>
    <row r="546" hidden="1">
      <c r="A546" s="6"/>
      <c r="B546" s="6"/>
      <c r="C546" s="6"/>
      <c r="D546" s="6"/>
      <c r="E546" s="6"/>
      <c r="F546" s="6"/>
      <c r="G546" s="6" t="str">
        <f>IFERROR(__xludf.DUMMYFUNCTION("""COMPUTED_VALUE"""),"")</f>
        <v/>
      </c>
      <c r="H546" s="6"/>
      <c r="I546" s="6"/>
      <c r="J546" s="6"/>
      <c r="K546" s="6"/>
      <c r="L546" s="6"/>
      <c r="M546" s="6"/>
      <c r="N546" s="6"/>
      <c r="O546" s="6"/>
      <c r="P546" s="6"/>
      <c r="Q546" s="6"/>
      <c r="R546" s="6"/>
      <c r="S546" s="6"/>
      <c r="T546" s="6"/>
      <c r="U546" s="6"/>
      <c r="V546" s="6"/>
      <c r="W546" s="6"/>
      <c r="X546" s="6"/>
    </row>
    <row r="547" hidden="1">
      <c r="A547" s="6"/>
      <c r="B547" s="6"/>
      <c r="C547" s="6"/>
      <c r="D547" s="6"/>
      <c r="E547" s="6"/>
      <c r="F547" s="6"/>
      <c r="G547" s="6" t="str">
        <f>IFERROR(__xludf.DUMMYFUNCTION("""COMPUTED_VALUE"""),"")</f>
        <v/>
      </c>
      <c r="H547" s="6"/>
      <c r="I547" s="6"/>
      <c r="J547" s="6"/>
      <c r="K547" s="6"/>
      <c r="L547" s="6"/>
      <c r="M547" s="6"/>
      <c r="N547" s="6"/>
      <c r="O547" s="6"/>
      <c r="P547" s="6"/>
      <c r="Q547" s="6"/>
      <c r="R547" s="6"/>
      <c r="S547" s="6"/>
      <c r="T547" s="6"/>
      <c r="U547" s="6"/>
      <c r="V547" s="6"/>
      <c r="W547" s="6"/>
      <c r="X547" s="6"/>
    </row>
    <row r="548" hidden="1">
      <c r="A548" s="6"/>
      <c r="B548" s="6"/>
      <c r="C548" s="6"/>
      <c r="D548" s="6"/>
      <c r="E548" s="6"/>
      <c r="F548" s="6"/>
      <c r="G548" s="6" t="str">
        <f>IFERROR(__xludf.DUMMYFUNCTION("""COMPUTED_VALUE"""),"")</f>
        <v/>
      </c>
      <c r="H548" s="6"/>
      <c r="I548" s="6"/>
      <c r="J548" s="6"/>
      <c r="K548" s="6"/>
      <c r="L548" s="6"/>
      <c r="M548" s="6"/>
      <c r="N548" s="6"/>
      <c r="O548" s="6"/>
      <c r="P548" s="6"/>
      <c r="Q548" s="6"/>
      <c r="R548" s="6"/>
      <c r="S548" s="6"/>
      <c r="T548" s="6"/>
      <c r="U548" s="6"/>
      <c r="V548" s="6"/>
      <c r="W548" s="6"/>
      <c r="X548" s="6"/>
    </row>
    <row r="549" hidden="1">
      <c r="A549" s="6"/>
      <c r="B549" s="6"/>
      <c r="C549" s="6"/>
      <c r="D549" s="6"/>
      <c r="E549" s="6"/>
      <c r="F549" s="6"/>
      <c r="G549" s="6" t="str">
        <f>IFERROR(__xludf.DUMMYFUNCTION("""COMPUTED_VALUE"""),"")</f>
        <v/>
      </c>
      <c r="H549" s="6"/>
      <c r="I549" s="6"/>
      <c r="J549" s="6"/>
      <c r="K549" s="6"/>
      <c r="L549" s="6"/>
      <c r="M549" s="6"/>
      <c r="N549" s="6"/>
      <c r="O549" s="6"/>
      <c r="P549" s="6"/>
      <c r="Q549" s="6"/>
      <c r="R549" s="6"/>
      <c r="S549" s="6"/>
      <c r="T549" s="6"/>
      <c r="U549" s="6"/>
      <c r="V549" s="6"/>
      <c r="W549" s="6"/>
      <c r="X549" s="6"/>
    </row>
    <row r="550" hidden="1">
      <c r="A550" s="6"/>
      <c r="B550" s="6"/>
      <c r="C550" s="6"/>
      <c r="D550" s="6"/>
      <c r="E550" s="6"/>
      <c r="F550" s="6"/>
      <c r="G550" s="6" t="str">
        <f>IFERROR(__xludf.DUMMYFUNCTION("""COMPUTED_VALUE"""),"")</f>
        <v/>
      </c>
      <c r="H550" s="6"/>
      <c r="I550" s="6"/>
      <c r="J550" s="6"/>
      <c r="K550" s="6"/>
      <c r="L550" s="6"/>
      <c r="M550" s="6"/>
      <c r="N550" s="6"/>
      <c r="O550" s="6"/>
      <c r="P550" s="6"/>
      <c r="Q550" s="6"/>
      <c r="R550" s="6"/>
      <c r="S550" s="6"/>
      <c r="T550" s="6"/>
      <c r="U550" s="6"/>
      <c r="V550" s="6"/>
      <c r="W550" s="6"/>
      <c r="X550" s="6"/>
    </row>
    <row r="551" hidden="1">
      <c r="A551" s="6"/>
      <c r="B551" s="6"/>
      <c r="C551" s="6"/>
      <c r="D551" s="6"/>
      <c r="E551" s="6"/>
      <c r="F551" s="6"/>
      <c r="G551" s="6" t="str">
        <f>IFERROR(__xludf.DUMMYFUNCTION("""COMPUTED_VALUE"""),"")</f>
        <v/>
      </c>
      <c r="H551" s="6"/>
      <c r="I551" s="6"/>
      <c r="J551" s="6"/>
      <c r="K551" s="6"/>
      <c r="L551" s="6"/>
      <c r="M551" s="6"/>
      <c r="N551" s="6"/>
      <c r="O551" s="6"/>
      <c r="P551" s="6"/>
      <c r="Q551" s="6"/>
      <c r="R551" s="6"/>
      <c r="S551" s="6"/>
      <c r="T551" s="6"/>
      <c r="U551" s="6"/>
      <c r="V551" s="6"/>
      <c r="W551" s="6"/>
      <c r="X551" s="6"/>
    </row>
    <row r="552" hidden="1">
      <c r="A552" s="6"/>
      <c r="B552" s="6"/>
      <c r="C552" s="6"/>
      <c r="D552" s="6"/>
      <c r="E552" s="6"/>
      <c r="F552" s="6"/>
      <c r="G552" s="6" t="str">
        <f>IFERROR(__xludf.DUMMYFUNCTION("""COMPUTED_VALUE"""),"")</f>
        <v/>
      </c>
      <c r="H552" s="6"/>
      <c r="I552" s="6"/>
      <c r="J552" s="6"/>
      <c r="K552" s="6"/>
      <c r="L552" s="6"/>
      <c r="M552" s="6"/>
      <c r="N552" s="6"/>
      <c r="O552" s="6"/>
      <c r="P552" s="6"/>
      <c r="Q552" s="6"/>
      <c r="R552" s="6"/>
      <c r="S552" s="6"/>
      <c r="T552" s="6"/>
      <c r="U552" s="6"/>
      <c r="V552" s="6"/>
      <c r="W552" s="6"/>
      <c r="X552" s="6"/>
    </row>
    <row r="553" hidden="1">
      <c r="A553" s="6"/>
      <c r="B553" s="6"/>
      <c r="C553" s="6"/>
      <c r="D553" s="6"/>
      <c r="E553" s="6"/>
      <c r="F553" s="6"/>
      <c r="G553" s="6" t="str">
        <f>IFERROR(__xludf.DUMMYFUNCTION("""COMPUTED_VALUE"""),"")</f>
        <v/>
      </c>
      <c r="H553" s="6"/>
      <c r="I553" s="6"/>
      <c r="J553" s="6"/>
      <c r="K553" s="6"/>
      <c r="L553" s="6"/>
      <c r="M553" s="6"/>
      <c r="N553" s="6"/>
      <c r="O553" s="6"/>
      <c r="P553" s="6"/>
      <c r="Q553" s="6"/>
      <c r="R553" s="6"/>
      <c r="S553" s="6"/>
      <c r="T553" s="6"/>
      <c r="U553" s="6"/>
      <c r="V553" s="6"/>
      <c r="W553" s="6"/>
      <c r="X553" s="6"/>
    </row>
    <row r="554" hidden="1">
      <c r="A554" s="6"/>
      <c r="B554" s="6"/>
      <c r="C554" s="6"/>
      <c r="D554" s="6"/>
      <c r="E554" s="6"/>
      <c r="F554" s="6"/>
      <c r="G554" s="6" t="str">
        <f>IFERROR(__xludf.DUMMYFUNCTION("""COMPUTED_VALUE"""),"")</f>
        <v/>
      </c>
      <c r="H554" s="6"/>
      <c r="I554" s="6"/>
      <c r="J554" s="6"/>
      <c r="K554" s="6"/>
      <c r="L554" s="6"/>
      <c r="M554" s="6"/>
      <c r="N554" s="6"/>
      <c r="O554" s="6"/>
      <c r="P554" s="6"/>
      <c r="Q554" s="6"/>
      <c r="R554" s="6"/>
      <c r="S554" s="6"/>
      <c r="T554" s="6"/>
      <c r="U554" s="6"/>
      <c r="V554" s="6"/>
      <c r="W554" s="6"/>
      <c r="X554" s="6"/>
    </row>
    <row r="555" hidden="1">
      <c r="A555" s="6"/>
      <c r="B555" s="6"/>
      <c r="C555" s="6"/>
      <c r="D555" s="6"/>
      <c r="E555" s="6"/>
      <c r="F555" s="6"/>
      <c r="G555" s="6" t="str">
        <f>IFERROR(__xludf.DUMMYFUNCTION("""COMPUTED_VALUE"""),"")</f>
        <v/>
      </c>
      <c r="H555" s="6"/>
      <c r="I555" s="6"/>
      <c r="J555" s="6"/>
      <c r="K555" s="6"/>
      <c r="L555" s="6"/>
      <c r="M555" s="6"/>
      <c r="N555" s="6"/>
      <c r="O555" s="6"/>
      <c r="P555" s="6"/>
      <c r="Q555" s="6"/>
      <c r="R555" s="6"/>
      <c r="S555" s="6"/>
      <c r="T555" s="6"/>
      <c r="U555" s="6"/>
      <c r="V555" s="6"/>
      <c r="W555" s="6"/>
      <c r="X555" s="6"/>
    </row>
    <row r="556" hidden="1">
      <c r="A556" s="6"/>
      <c r="B556" s="6"/>
      <c r="C556" s="6"/>
      <c r="D556" s="6"/>
      <c r="E556" s="6"/>
      <c r="F556" s="6"/>
      <c r="G556" s="6" t="str">
        <f>IFERROR(__xludf.DUMMYFUNCTION("""COMPUTED_VALUE"""),"")</f>
        <v/>
      </c>
      <c r="H556" s="6"/>
      <c r="I556" s="6"/>
      <c r="J556" s="6"/>
      <c r="K556" s="6"/>
      <c r="L556" s="6"/>
      <c r="M556" s="6"/>
      <c r="N556" s="6"/>
      <c r="O556" s="6"/>
      <c r="P556" s="6"/>
      <c r="Q556" s="6"/>
      <c r="R556" s="6"/>
      <c r="S556" s="6"/>
      <c r="T556" s="6"/>
      <c r="U556" s="6"/>
      <c r="V556" s="6"/>
      <c r="W556" s="6"/>
      <c r="X556" s="6"/>
    </row>
    <row r="557" hidden="1">
      <c r="A557" s="6"/>
      <c r="B557" s="6"/>
      <c r="C557" s="6"/>
      <c r="D557" s="6"/>
      <c r="E557" s="6"/>
      <c r="F557" s="6"/>
      <c r="G557" s="6" t="str">
        <f>IFERROR(__xludf.DUMMYFUNCTION("""COMPUTED_VALUE"""),"")</f>
        <v/>
      </c>
      <c r="H557" s="6"/>
      <c r="I557" s="6"/>
      <c r="J557" s="6"/>
      <c r="K557" s="6"/>
      <c r="L557" s="6"/>
      <c r="M557" s="6"/>
      <c r="N557" s="6"/>
      <c r="O557" s="6"/>
      <c r="P557" s="6"/>
      <c r="Q557" s="6"/>
      <c r="R557" s="6"/>
      <c r="S557" s="6"/>
      <c r="T557" s="6"/>
      <c r="U557" s="6"/>
      <c r="V557" s="6"/>
      <c r="W557" s="6"/>
      <c r="X557" s="6"/>
    </row>
    <row r="558" hidden="1">
      <c r="A558" s="6"/>
      <c r="B558" s="6"/>
      <c r="C558" s="6"/>
      <c r="D558" s="6"/>
      <c r="E558" s="6"/>
      <c r="F558" s="6"/>
      <c r="G558" s="6" t="str">
        <f>IFERROR(__xludf.DUMMYFUNCTION("""COMPUTED_VALUE"""),"")</f>
        <v/>
      </c>
      <c r="H558" s="6"/>
      <c r="I558" s="6"/>
      <c r="J558" s="6"/>
      <c r="K558" s="6"/>
      <c r="L558" s="6"/>
      <c r="M558" s="6"/>
      <c r="N558" s="6"/>
      <c r="O558" s="6"/>
      <c r="P558" s="6"/>
      <c r="Q558" s="6"/>
      <c r="R558" s="6"/>
      <c r="S558" s="6"/>
      <c r="T558" s="6"/>
      <c r="U558" s="6"/>
      <c r="V558" s="6"/>
      <c r="W558" s="6"/>
      <c r="X558" s="6"/>
    </row>
    <row r="559" hidden="1">
      <c r="A559" s="6"/>
      <c r="B559" s="6"/>
      <c r="C559" s="6"/>
      <c r="D559" s="6"/>
      <c r="E559" s="6"/>
      <c r="F559" s="6"/>
      <c r="G559" s="6" t="str">
        <f>IFERROR(__xludf.DUMMYFUNCTION("""COMPUTED_VALUE"""),"")</f>
        <v/>
      </c>
      <c r="H559" s="6"/>
      <c r="I559" s="6"/>
      <c r="J559" s="6"/>
      <c r="K559" s="6"/>
      <c r="L559" s="6"/>
      <c r="M559" s="6"/>
      <c r="N559" s="6"/>
      <c r="O559" s="6"/>
      <c r="P559" s="6"/>
      <c r="Q559" s="6"/>
      <c r="R559" s="6"/>
      <c r="S559" s="6"/>
      <c r="T559" s="6"/>
      <c r="U559" s="6"/>
      <c r="V559" s="6"/>
      <c r="W559" s="6"/>
      <c r="X559" s="6"/>
    </row>
    <row r="560" hidden="1">
      <c r="A560" s="6"/>
      <c r="B560" s="6"/>
      <c r="C560" s="6"/>
      <c r="D560" s="6"/>
      <c r="E560" s="6"/>
      <c r="F560" s="6"/>
      <c r="G560" s="6" t="str">
        <f>IFERROR(__xludf.DUMMYFUNCTION("""COMPUTED_VALUE"""),"")</f>
        <v/>
      </c>
      <c r="H560" s="6"/>
      <c r="I560" s="6"/>
      <c r="J560" s="6"/>
      <c r="K560" s="6"/>
      <c r="L560" s="6"/>
      <c r="M560" s="6"/>
      <c r="N560" s="6"/>
      <c r="O560" s="6"/>
      <c r="P560" s="6"/>
      <c r="Q560" s="6"/>
      <c r="R560" s="6"/>
      <c r="S560" s="6"/>
      <c r="T560" s="6"/>
      <c r="U560" s="6"/>
      <c r="V560" s="6"/>
      <c r="W560" s="6"/>
      <c r="X560" s="6"/>
    </row>
    <row r="561" hidden="1">
      <c r="A561" s="6"/>
      <c r="B561" s="6"/>
      <c r="C561" s="6"/>
      <c r="D561" s="6"/>
      <c r="E561" s="6"/>
      <c r="F561" s="6"/>
      <c r="G561" s="6" t="str">
        <f>IFERROR(__xludf.DUMMYFUNCTION("""COMPUTED_VALUE"""),"")</f>
        <v/>
      </c>
      <c r="H561" s="6"/>
      <c r="I561" s="6"/>
      <c r="J561" s="6"/>
      <c r="K561" s="6"/>
      <c r="L561" s="6"/>
      <c r="M561" s="6"/>
      <c r="N561" s="6"/>
      <c r="O561" s="6"/>
      <c r="P561" s="6"/>
      <c r="Q561" s="6"/>
      <c r="R561" s="6"/>
      <c r="S561" s="6"/>
      <c r="T561" s="6"/>
      <c r="U561" s="6"/>
      <c r="V561" s="6"/>
      <c r="W561" s="6"/>
      <c r="X561" s="6"/>
    </row>
    <row r="562" hidden="1">
      <c r="A562" s="6"/>
      <c r="B562" s="6"/>
      <c r="C562" s="6"/>
      <c r="D562" s="6"/>
      <c r="E562" s="6"/>
      <c r="F562" s="6"/>
      <c r="G562" s="6" t="str">
        <f>IFERROR(__xludf.DUMMYFUNCTION("""COMPUTED_VALUE"""),"")</f>
        <v/>
      </c>
      <c r="H562" s="6"/>
      <c r="I562" s="6"/>
      <c r="J562" s="6"/>
      <c r="K562" s="6"/>
      <c r="L562" s="6"/>
      <c r="M562" s="6"/>
      <c r="N562" s="6"/>
      <c r="O562" s="6"/>
      <c r="P562" s="6"/>
      <c r="Q562" s="6"/>
      <c r="R562" s="6"/>
      <c r="S562" s="6"/>
      <c r="T562" s="6"/>
      <c r="U562" s="6"/>
      <c r="V562" s="6"/>
      <c r="W562" s="6"/>
      <c r="X562" s="6"/>
    </row>
    <row r="563" hidden="1">
      <c r="A563" s="6"/>
      <c r="B563" s="6"/>
      <c r="C563" s="6"/>
      <c r="D563" s="6"/>
      <c r="E563" s="6"/>
      <c r="F563" s="6"/>
      <c r="G563" s="6" t="str">
        <f>IFERROR(__xludf.DUMMYFUNCTION("""COMPUTED_VALUE"""),"")</f>
        <v/>
      </c>
      <c r="H563" s="6"/>
      <c r="I563" s="6"/>
      <c r="J563" s="6"/>
      <c r="K563" s="6"/>
      <c r="L563" s="6"/>
      <c r="M563" s="6"/>
      <c r="N563" s="6"/>
      <c r="O563" s="6"/>
      <c r="P563" s="6"/>
      <c r="Q563" s="6"/>
      <c r="R563" s="6"/>
      <c r="S563" s="6"/>
      <c r="T563" s="6"/>
      <c r="U563" s="6"/>
      <c r="V563" s="6"/>
      <c r="W563" s="6"/>
      <c r="X563" s="6"/>
    </row>
    <row r="564" hidden="1">
      <c r="A564" s="6"/>
      <c r="B564" s="6"/>
      <c r="C564" s="6"/>
      <c r="D564" s="6"/>
      <c r="E564" s="6"/>
      <c r="F564" s="6"/>
      <c r="G564" s="6" t="str">
        <f>IFERROR(__xludf.DUMMYFUNCTION("""COMPUTED_VALUE"""),"")</f>
        <v/>
      </c>
      <c r="H564" s="6"/>
      <c r="I564" s="6"/>
      <c r="J564" s="6"/>
      <c r="K564" s="6"/>
      <c r="L564" s="6"/>
      <c r="M564" s="6"/>
      <c r="N564" s="6"/>
      <c r="O564" s="6"/>
      <c r="P564" s="6"/>
      <c r="Q564" s="6"/>
      <c r="R564" s="6"/>
      <c r="S564" s="6"/>
      <c r="T564" s="6"/>
      <c r="U564" s="6"/>
      <c r="V564" s="6"/>
      <c r="W564" s="6"/>
      <c r="X564" s="6"/>
    </row>
    <row r="565" hidden="1">
      <c r="A565" s="6"/>
      <c r="B565" s="6"/>
      <c r="C565" s="6"/>
      <c r="D565" s="6"/>
      <c r="E565" s="6"/>
      <c r="F565" s="6"/>
      <c r="G565" s="6" t="str">
        <f>IFERROR(__xludf.DUMMYFUNCTION("""COMPUTED_VALUE"""),"")</f>
        <v/>
      </c>
      <c r="H565" s="6"/>
      <c r="I565" s="6"/>
      <c r="J565" s="6"/>
      <c r="K565" s="6"/>
      <c r="L565" s="6"/>
      <c r="M565" s="6"/>
      <c r="N565" s="6"/>
      <c r="O565" s="6"/>
      <c r="P565" s="6"/>
      <c r="Q565" s="6"/>
      <c r="R565" s="6"/>
      <c r="S565" s="6"/>
      <c r="T565" s="6"/>
      <c r="U565" s="6"/>
      <c r="V565" s="6"/>
      <c r="W565" s="6"/>
      <c r="X565" s="6"/>
    </row>
    <row r="566" hidden="1">
      <c r="A566" s="6"/>
      <c r="B566" s="6"/>
      <c r="C566" s="6"/>
      <c r="D566" s="6"/>
      <c r="E566" s="6"/>
      <c r="F566" s="6"/>
      <c r="G566" s="6" t="str">
        <f>IFERROR(__xludf.DUMMYFUNCTION("""COMPUTED_VALUE"""),"")</f>
        <v/>
      </c>
      <c r="H566" s="6"/>
      <c r="I566" s="6"/>
      <c r="J566" s="6"/>
      <c r="K566" s="6"/>
      <c r="L566" s="6"/>
      <c r="M566" s="6"/>
      <c r="N566" s="6"/>
      <c r="O566" s="6"/>
      <c r="P566" s="6"/>
      <c r="Q566" s="6"/>
      <c r="R566" s="6"/>
      <c r="S566" s="6"/>
      <c r="T566" s="6"/>
      <c r="U566" s="6"/>
      <c r="V566" s="6"/>
      <c r="W566" s="6"/>
      <c r="X566" s="6"/>
    </row>
    <row r="567" hidden="1">
      <c r="A567" s="6"/>
      <c r="B567" s="6"/>
      <c r="C567" s="6"/>
      <c r="D567" s="6"/>
      <c r="E567" s="6"/>
      <c r="F567" s="6"/>
      <c r="G567" s="6" t="str">
        <f>IFERROR(__xludf.DUMMYFUNCTION("""COMPUTED_VALUE"""),"")</f>
        <v/>
      </c>
      <c r="H567" s="6"/>
      <c r="I567" s="6"/>
      <c r="J567" s="6"/>
      <c r="K567" s="6"/>
      <c r="L567" s="6"/>
      <c r="M567" s="6"/>
      <c r="N567" s="6"/>
      <c r="O567" s="6"/>
      <c r="P567" s="6"/>
      <c r="Q567" s="6"/>
      <c r="R567" s="6"/>
      <c r="S567" s="6"/>
      <c r="T567" s="6"/>
      <c r="U567" s="6"/>
      <c r="V567" s="6"/>
      <c r="W567" s="6"/>
      <c r="X567" s="6"/>
    </row>
    <row r="568" hidden="1">
      <c r="A568" s="6"/>
      <c r="B568" s="6"/>
      <c r="C568" s="6"/>
      <c r="D568" s="6"/>
      <c r="E568" s="6"/>
      <c r="F568" s="6"/>
      <c r="G568" s="6" t="str">
        <f>IFERROR(__xludf.DUMMYFUNCTION("""COMPUTED_VALUE"""),"")</f>
        <v/>
      </c>
      <c r="H568" s="6"/>
      <c r="I568" s="6"/>
      <c r="J568" s="6"/>
      <c r="K568" s="6"/>
      <c r="L568" s="6"/>
      <c r="M568" s="6"/>
      <c r="N568" s="6"/>
      <c r="O568" s="6"/>
      <c r="P568" s="6"/>
      <c r="Q568" s="6"/>
      <c r="R568" s="6"/>
      <c r="S568" s="6"/>
      <c r="T568" s="6"/>
      <c r="U568" s="6"/>
      <c r="V568" s="6"/>
      <c r="W568" s="6"/>
      <c r="X568" s="6"/>
    </row>
    <row r="569" hidden="1">
      <c r="A569" s="6"/>
      <c r="B569" s="6"/>
      <c r="C569" s="6"/>
      <c r="D569" s="6"/>
      <c r="E569" s="6"/>
      <c r="F569" s="6"/>
      <c r="G569" s="6" t="str">
        <f>IFERROR(__xludf.DUMMYFUNCTION("""COMPUTED_VALUE"""),"")</f>
        <v/>
      </c>
      <c r="H569" s="6"/>
      <c r="I569" s="6"/>
      <c r="J569" s="6"/>
      <c r="K569" s="6"/>
      <c r="L569" s="6"/>
      <c r="M569" s="6"/>
      <c r="N569" s="6"/>
      <c r="O569" s="6"/>
      <c r="P569" s="6"/>
      <c r="Q569" s="6"/>
      <c r="R569" s="6"/>
      <c r="S569" s="6"/>
      <c r="T569" s="6"/>
      <c r="U569" s="6"/>
      <c r="V569" s="6"/>
      <c r="W569" s="6"/>
      <c r="X569" s="6"/>
    </row>
    <row r="570" hidden="1">
      <c r="A570" s="6"/>
      <c r="B570" s="6"/>
      <c r="C570" s="6"/>
      <c r="D570" s="6"/>
      <c r="E570" s="6"/>
      <c r="F570" s="6"/>
      <c r="G570" s="6" t="str">
        <f>IFERROR(__xludf.DUMMYFUNCTION("""COMPUTED_VALUE"""),"")</f>
        <v/>
      </c>
      <c r="H570" s="6"/>
      <c r="I570" s="6"/>
      <c r="J570" s="6"/>
      <c r="K570" s="6"/>
      <c r="L570" s="6"/>
      <c r="M570" s="6"/>
      <c r="N570" s="6"/>
      <c r="O570" s="6"/>
      <c r="P570" s="6"/>
      <c r="Q570" s="6"/>
      <c r="R570" s="6"/>
      <c r="S570" s="6"/>
      <c r="T570" s="6"/>
      <c r="U570" s="6"/>
      <c r="V570" s="6"/>
      <c r="W570" s="6"/>
      <c r="X570" s="6"/>
    </row>
    <row r="571" hidden="1">
      <c r="A571" s="6"/>
      <c r="B571" s="6"/>
      <c r="C571" s="6"/>
      <c r="D571" s="6"/>
      <c r="E571" s="6"/>
      <c r="F571" s="6"/>
      <c r="G571" s="6" t="str">
        <f>IFERROR(__xludf.DUMMYFUNCTION("""COMPUTED_VALUE"""),"")</f>
        <v/>
      </c>
      <c r="H571" s="6"/>
      <c r="I571" s="6"/>
      <c r="J571" s="6"/>
      <c r="K571" s="6"/>
      <c r="L571" s="6"/>
      <c r="M571" s="6"/>
      <c r="N571" s="6"/>
      <c r="O571" s="6"/>
      <c r="P571" s="6"/>
      <c r="Q571" s="6"/>
      <c r="R571" s="6"/>
      <c r="S571" s="6"/>
      <c r="T571" s="6"/>
      <c r="U571" s="6"/>
      <c r="V571" s="6"/>
      <c r="W571" s="6"/>
      <c r="X571" s="6"/>
    </row>
    <row r="572" hidden="1">
      <c r="A572" s="6"/>
      <c r="B572" s="6"/>
      <c r="C572" s="6"/>
      <c r="D572" s="6"/>
      <c r="E572" s="6"/>
      <c r="F572" s="6"/>
      <c r="G572" s="6" t="str">
        <f>IFERROR(__xludf.DUMMYFUNCTION("""COMPUTED_VALUE"""),"")</f>
        <v/>
      </c>
      <c r="H572" s="6"/>
      <c r="I572" s="6"/>
      <c r="J572" s="6"/>
      <c r="K572" s="6"/>
      <c r="L572" s="6"/>
      <c r="M572" s="6"/>
      <c r="N572" s="6"/>
      <c r="O572" s="6"/>
      <c r="P572" s="6"/>
      <c r="Q572" s="6"/>
      <c r="R572" s="6"/>
      <c r="S572" s="6"/>
      <c r="T572" s="6"/>
      <c r="U572" s="6"/>
      <c r="V572" s="6"/>
      <c r="W572" s="6"/>
      <c r="X572" s="6"/>
    </row>
    <row r="573" hidden="1">
      <c r="A573" s="6"/>
      <c r="B573" s="6"/>
      <c r="C573" s="6"/>
      <c r="D573" s="6"/>
      <c r="E573" s="6"/>
      <c r="F573" s="6"/>
      <c r="G573" s="6" t="str">
        <f>IFERROR(__xludf.DUMMYFUNCTION("""COMPUTED_VALUE"""),"")</f>
        <v/>
      </c>
      <c r="H573" s="6"/>
      <c r="I573" s="6"/>
      <c r="J573" s="6"/>
      <c r="K573" s="6"/>
      <c r="L573" s="6"/>
      <c r="M573" s="6"/>
      <c r="N573" s="6"/>
      <c r="O573" s="6"/>
      <c r="P573" s="6"/>
      <c r="Q573" s="6"/>
      <c r="R573" s="6"/>
      <c r="S573" s="6"/>
      <c r="T573" s="6"/>
      <c r="U573" s="6"/>
      <c r="V573" s="6"/>
      <c r="W573" s="6"/>
      <c r="X573" s="6"/>
    </row>
    <row r="574" hidden="1">
      <c r="A574" s="6"/>
      <c r="B574" s="6"/>
      <c r="C574" s="6"/>
      <c r="D574" s="6"/>
      <c r="E574" s="6"/>
      <c r="F574" s="6"/>
      <c r="G574" s="6" t="str">
        <f>IFERROR(__xludf.DUMMYFUNCTION("""COMPUTED_VALUE"""),"")</f>
        <v/>
      </c>
      <c r="H574" s="6"/>
      <c r="I574" s="6"/>
      <c r="J574" s="6"/>
      <c r="K574" s="6"/>
      <c r="L574" s="6"/>
      <c r="M574" s="6"/>
      <c r="N574" s="6"/>
      <c r="O574" s="6"/>
      <c r="P574" s="6"/>
      <c r="Q574" s="6"/>
      <c r="R574" s="6"/>
      <c r="S574" s="6"/>
      <c r="T574" s="6"/>
      <c r="U574" s="6"/>
      <c r="V574" s="6"/>
      <c r="W574" s="6"/>
      <c r="X574" s="6"/>
    </row>
    <row r="575" hidden="1">
      <c r="A575" s="6"/>
      <c r="B575" s="6"/>
      <c r="C575" s="6"/>
      <c r="D575" s="6"/>
      <c r="E575" s="6"/>
      <c r="F575" s="6"/>
      <c r="G575" s="6" t="str">
        <f>IFERROR(__xludf.DUMMYFUNCTION("""COMPUTED_VALUE"""),"")</f>
        <v/>
      </c>
      <c r="H575" s="6"/>
      <c r="I575" s="6"/>
      <c r="J575" s="6"/>
      <c r="K575" s="6"/>
      <c r="L575" s="6"/>
      <c r="M575" s="6"/>
      <c r="N575" s="6"/>
      <c r="O575" s="6"/>
      <c r="P575" s="6"/>
      <c r="Q575" s="6"/>
      <c r="R575" s="6"/>
      <c r="S575" s="6"/>
      <c r="T575" s="6"/>
      <c r="U575" s="6"/>
      <c r="V575" s="6"/>
      <c r="W575" s="6"/>
      <c r="X575" s="6"/>
    </row>
    <row r="576" hidden="1">
      <c r="A576" s="6"/>
      <c r="B576" s="6"/>
      <c r="C576" s="6"/>
      <c r="D576" s="6"/>
      <c r="E576" s="6"/>
      <c r="F576" s="6"/>
      <c r="G576" s="6" t="str">
        <f>IFERROR(__xludf.DUMMYFUNCTION("""COMPUTED_VALUE"""),"")</f>
        <v/>
      </c>
      <c r="H576" s="6"/>
      <c r="I576" s="6"/>
      <c r="J576" s="6"/>
      <c r="K576" s="6"/>
      <c r="L576" s="6"/>
      <c r="M576" s="6"/>
      <c r="N576" s="6"/>
      <c r="O576" s="6"/>
      <c r="P576" s="6"/>
      <c r="Q576" s="6"/>
      <c r="R576" s="6"/>
      <c r="S576" s="6"/>
      <c r="T576" s="6"/>
      <c r="U576" s="6"/>
      <c r="V576" s="6"/>
      <c r="W576" s="6"/>
      <c r="X576" s="6"/>
    </row>
    <row r="577" hidden="1">
      <c r="A577" s="6"/>
      <c r="B577" s="6"/>
      <c r="C577" s="6"/>
      <c r="D577" s="6"/>
      <c r="E577" s="6"/>
      <c r="F577" s="6"/>
      <c r="G577" s="6" t="str">
        <f>IFERROR(__xludf.DUMMYFUNCTION("""COMPUTED_VALUE"""),"")</f>
        <v/>
      </c>
      <c r="H577" s="6"/>
      <c r="I577" s="6"/>
      <c r="J577" s="6"/>
      <c r="K577" s="6"/>
      <c r="L577" s="6"/>
      <c r="M577" s="6"/>
      <c r="N577" s="6"/>
      <c r="O577" s="6"/>
      <c r="P577" s="6"/>
      <c r="Q577" s="6"/>
      <c r="R577" s="6"/>
      <c r="S577" s="6"/>
      <c r="T577" s="6"/>
      <c r="U577" s="6"/>
      <c r="V577" s="6"/>
      <c r="W577" s="6"/>
      <c r="X577" s="6"/>
    </row>
    <row r="578" hidden="1">
      <c r="A578" s="6"/>
      <c r="B578" s="6"/>
      <c r="C578" s="6"/>
      <c r="D578" s="6"/>
      <c r="E578" s="6"/>
      <c r="F578" s="6"/>
      <c r="G578" s="6" t="str">
        <f>IFERROR(__xludf.DUMMYFUNCTION("""COMPUTED_VALUE"""),"")</f>
        <v/>
      </c>
      <c r="H578" s="6"/>
      <c r="I578" s="6"/>
      <c r="J578" s="6"/>
      <c r="K578" s="6"/>
      <c r="L578" s="6"/>
      <c r="M578" s="6"/>
      <c r="N578" s="6"/>
      <c r="O578" s="6"/>
      <c r="P578" s="6"/>
      <c r="Q578" s="6"/>
      <c r="R578" s="6"/>
      <c r="S578" s="6"/>
      <c r="T578" s="6"/>
      <c r="U578" s="6"/>
      <c r="V578" s="6"/>
      <c r="W578" s="6"/>
      <c r="X578" s="6"/>
    </row>
    <row r="579" hidden="1">
      <c r="A579" s="6"/>
      <c r="B579" s="6"/>
      <c r="C579" s="6"/>
      <c r="D579" s="6"/>
      <c r="E579" s="6"/>
      <c r="F579" s="6"/>
      <c r="G579" s="6" t="str">
        <f>IFERROR(__xludf.DUMMYFUNCTION("""COMPUTED_VALUE"""),"")</f>
        <v/>
      </c>
      <c r="H579" s="6"/>
      <c r="I579" s="6"/>
      <c r="J579" s="6"/>
      <c r="K579" s="6"/>
      <c r="L579" s="6"/>
      <c r="M579" s="6"/>
      <c r="N579" s="6"/>
      <c r="O579" s="6"/>
      <c r="P579" s="6"/>
      <c r="Q579" s="6"/>
      <c r="R579" s="6"/>
      <c r="S579" s="6"/>
      <c r="T579" s="6"/>
      <c r="U579" s="6"/>
      <c r="V579" s="6"/>
      <c r="W579" s="6"/>
      <c r="X579" s="6"/>
    </row>
    <row r="580" hidden="1">
      <c r="A580" s="6"/>
      <c r="B580" s="6"/>
      <c r="C580" s="6"/>
      <c r="D580" s="6"/>
      <c r="E580" s="6"/>
      <c r="F580" s="6"/>
      <c r="G580" s="6" t="str">
        <f>IFERROR(__xludf.DUMMYFUNCTION("""COMPUTED_VALUE"""),"")</f>
        <v/>
      </c>
      <c r="H580" s="6"/>
      <c r="I580" s="6"/>
      <c r="J580" s="6"/>
      <c r="K580" s="6"/>
      <c r="L580" s="6"/>
      <c r="M580" s="6"/>
      <c r="N580" s="6"/>
      <c r="O580" s="6"/>
      <c r="P580" s="6"/>
      <c r="Q580" s="6"/>
      <c r="R580" s="6"/>
      <c r="S580" s="6"/>
      <c r="T580" s="6"/>
      <c r="U580" s="6"/>
      <c r="V580" s="6"/>
      <c r="W580" s="6"/>
      <c r="X580" s="6"/>
    </row>
    <row r="581" hidden="1">
      <c r="A581" s="6"/>
      <c r="B581" s="6"/>
      <c r="C581" s="6"/>
      <c r="D581" s="6"/>
      <c r="E581" s="6"/>
      <c r="F581" s="6"/>
      <c r="G581" s="6" t="str">
        <f>IFERROR(__xludf.DUMMYFUNCTION("""COMPUTED_VALUE"""),"")</f>
        <v/>
      </c>
      <c r="H581" s="6"/>
      <c r="I581" s="6"/>
      <c r="J581" s="6"/>
      <c r="K581" s="6"/>
      <c r="L581" s="6"/>
      <c r="M581" s="6"/>
      <c r="N581" s="6"/>
      <c r="O581" s="6"/>
      <c r="P581" s="6"/>
      <c r="Q581" s="6"/>
      <c r="R581" s="6"/>
      <c r="S581" s="6"/>
      <c r="T581" s="6"/>
      <c r="U581" s="6"/>
      <c r="V581" s="6"/>
      <c r="W581" s="6"/>
      <c r="X581" s="6"/>
    </row>
    <row r="582" hidden="1">
      <c r="A582" s="6"/>
      <c r="B582" s="6"/>
      <c r="C582" s="6"/>
      <c r="D582" s="6"/>
      <c r="E582" s="6"/>
      <c r="F582" s="6"/>
      <c r="G582" s="6" t="str">
        <f>IFERROR(__xludf.DUMMYFUNCTION("""COMPUTED_VALUE"""),"")</f>
        <v/>
      </c>
      <c r="H582" s="6"/>
      <c r="I582" s="6"/>
      <c r="J582" s="6"/>
      <c r="K582" s="6"/>
      <c r="L582" s="6"/>
      <c r="M582" s="6"/>
      <c r="N582" s="6"/>
      <c r="O582" s="6"/>
      <c r="P582" s="6"/>
      <c r="Q582" s="6"/>
      <c r="R582" s="6"/>
      <c r="S582" s="6"/>
      <c r="T582" s="6"/>
      <c r="U582" s="6"/>
      <c r="V582" s="6"/>
      <c r="W582" s="6"/>
      <c r="X582" s="6"/>
    </row>
    <row r="583" hidden="1">
      <c r="A583" s="6"/>
      <c r="B583" s="6"/>
      <c r="C583" s="6"/>
      <c r="D583" s="6"/>
      <c r="E583" s="6"/>
      <c r="F583" s="6"/>
      <c r="G583" s="6" t="str">
        <f>IFERROR(__xludf.DUMMYFUNCTION("""COMPUTED_VALUE"""),"")</f>
        <v/>
      </c>
      <c r="H583" s="6"/>
      <c r="I583" s="6"/>
      <c r="J583" s="6"/>
      <c r="K583" s="6"/>
      <c r="L583" s="6"/>
      <c r="M583" s="6"/>
      <c r="N583" s="6"/>
      <c r="O583" s="6"/>
      <c r="P583" s="6"/>
      <c r="Q583" s="6"/>
      <c r="R583" s="6"/>
      <c r="S583" s="6"/>
      <c r="T583" s="6"/>
      <c r="U583" s="6"/>
      <c r="V583" s="6"/>
      <c r="W583" s="6"/>
      <c r="X583" s="6"/>
    </row>
    <row r="584" hidden="1">
      <c r="A584" s="6"/>
      <c r="B584" s="6"/>
      <c r="C584" s="6"/>
      <c r="D584" s="6"/>
      <c r="E584" s="6"/>
      <c r="F584" s="6"/>
      <c r="G584" s="6" t="str">
        <f>IFERROR(__xludf.DUMMYFUNCTION("""COMPUTED_VALUE"""),"")</f>
        <v/>
      </c>
      <c r="H584" s="6"/>
      <c r="I584" s="6"/>
      <c r="J584" s="6"/>
      <c r="K584" s="6"/>
      <c r="L584" s="6"/>
      <c r="M584" s="6"/>
      <c r="N584" s="6"/>
      <c r="O584" s="6"/>
      <c r="P584" s="6"/>
      <c r="Q584" s="6"/>
      <c r="R584" s="6"/>
      <c r="S584" s="6"/>
      <c r="T584" s="6"/>
      <c r="U584" s="6"/>
      <c r="V584" s="6"/>
      <c r="W584" s="6"/>
      <c r="X584" s="6"/>
    </row>
    <row r="585" hidden="1">
      <c r="A585" s="6"/>
      <c r="B585" s="6"/>
      <c r="C585" s="6"/>
      <c r="D585" s="6"/>
      <c r="E585" s="6"/>
      <c r="F585" s="6"/>
      <c r="G585" s="6" t="str">
        <f>IFERROR(__xludf.DUMMYFUNCTION("""COMPUTED_VALUE"""),"")</f>
        <v/>
      </c>
      <c r="H585" s="6"/>
      <c r="I585" s="6"/>
      <c r="J585" s="6"/>
      <c r="K585" s="6"/>
      <c r="L585" s="6"/>
      <c r="M585" s="6"/>
      <c r="N585" s="6"/>
      <c r="O585" s="6"/>
      <c r="P585" s="6"/>
      <c r="Q585" s="6"/>
      <c r="R585" s="6"/>
      <c r="S585" s="6"/>
      <c r="T585" s="6"/>
      <c r="U585" s="6"/>
      <c r="V585" s="6"/>
      <c r="W585" s="6"/>
      <c r="X585" s="6"/>
    </row>
    <row r="586" hidden="1">
      <c r="A586" s="6"/>
      <c r="B586" s="6"/>
      <c r="C586" s="6"/>
      <c r="D586" s="6"/>
      <c r="E586" s="6"/>
      <c r="F586" s="6"/>
      <c r="G586" s="6" t="str">
        <f>IFERROR(__xludf.DUMMYFUNCTION("""COMPUTED_VALUE"""),"")</f>
        <v/>
      </c>
      <c r="H586" s="6"/>
      <c r="I586" s="6"/>
      <c r="J586" s="6"/>
      <c r="K586" s="6"/>
      <c r="L586" s="6"/>
      <c r="M586" s="6"/>
      <c r="N586" s="6"/>
      <c r="O586" s="6"/>
      <c r="P586" s="6"/>
      <c r="Q586" s="6"/>
      <c r="R586" s="6"/>
      <c r="S586" s="6"/>
      <c r="T586" s="6"/>
      <c r="U586" s="6"/>
      <c r="V586" s="6"/>
      <c r="W586" s="6"/>
      <c r="X586" s="6"/>
    </row>
    <row r="587" hidden="1">
      <c r="A587" s="6"/>
      <c r="B587" s="6"/>
      <c r="C587" s="6"/>
      <c r="D587" s="6"/>
      <c r="E587" s="6"/>
      <c r="F587" s="6"/>
      <c r="G587" s="6" t="str">
        <f>IFERROR(__xludf.DUMMYFUNCTION("""COMPUTED_VALUE"""),"")</f>
        <v/>
      </c>
      <c r="H587" s="6"/>
      <c r="I587" s="6"/>
      <c r="J587" s="6"/>
      <c r="K587" s="6"/>
      <c r="L587" s="6"/>
      <c r="M587" s="6"/>
      <c r="N587" s="6"/>
      <c r="O587" s="6"/>
      <c r="P587" s="6"/>
      <c r="Q587" s="6"/>
      <c r="R587" s="6"/>
      <c r="S587" s="6"/>
      <c r="T587" s="6"/>
      <c r="U587" s="6"/>
      <c r="V587" s="6"/>
      <c r="W587" s="6"/>
      <c r="X587" s="6"/>
    </row>
    <row r="588" hidden="1">
      <c r="A588" s="6"/>
      <c r="B588" s="6"/>
      <c r="C588" s="6"/>
      <c r="D588" s="6"/>
      <c r="E588" s="6"/>
      <c r="F588" s="6"/>
      <c r="G588" s="6" t="str">
        <f>IFERROR(__xludf.DUMMYFUNCTION("""COMPUTED_VALUE"""),"")</f>
        <v/>
      </c>
      <c r="H588" s="6"/>
      <c r="I588" s="6"/>
      <c r="J588" s="6"/>
      <c r="K588" s="6"/>
      <c r="L588" s="6"/>
      <c r="M588" s="6"/>
      <c r="N588" s="6"/>
      <c r="O588" s="6"/>
      <c r="P588" s="6"/>
      <c r="Q588" s="6"/>
      <c r="R588" s="6"/>
      <c r="S588" s="6"/>
      <c r="T588" s="6"/>
      <c r="U588" s="6"/>
      <c r="V588" s="6"/>
      <c r="W588" s="6"/>
      <c r="X588" s="6"/>
    </row>
    <row r="589" hidden="1">
      <c r="A589" s="6"/>
      <c r="B589" s="6"/>
      <c r="C589" s="6"/>
      <c r="D589" s="6"/>
      <c r="E589" s="6"/>
      <c r="F589" s="6"/>
      <c r="G589" s="6" t="str">
        <f>IFERROR(__xludf.DUMMYFUNCTION("""COMPUTED_VALUE"""),"")</f>
        <v/>
      </c>
      <c r="H589" s="6"/>
      <c r="I589" s="6"/>
      <c r="J589" s="6"/>
      <c r="K589" s="6"/>
      <c r="L589" s="6"/>
      <c r="M589" s="6"/>
      <c r="N589" s="6"/>
      <c r="O589" s="6"/>
      <c r="P589" s="6"/>
      <c r="Q589" s="6"/>
      <c r="R589" s="6"/>
      <c r="S589" s="6"/>
      <c r="T589" s="6"/>
      <c r="U589" s="6"/>
      <c r="V589" s="6"/>
      <c r="W589" s="6"/>
      <c r="X589" s="6"/>
    </row>
    <row r="590" hidden="1">
      <c r="A590" s="6"/>
      <c r="B590" s="6"/>
      <c r="C590" s="6"/>
      <c r="D590" s="6"/>
      <c r="E590" s="6"/>
      <c r="F590" s="6"/>
      <c r="G590" s="6" t="str">
        <f>IFERROR(__xludf.DUMMYFUNCTION("""COMPUTED_VALUE"""),"")</f>
        <v/>
      </c>
      <c r="H590" s="6"/>
      <c r="I590" s="6"/>
      <c r="J590" s="6"/>
      <c r="K590" s="6"/>
      <c r="L590" s="6"/>
      <c r="M590" s="6"/>
      <c r="N590" s="6"/>
      <c r="O590" s="6"/>
      <c r="P590" s="6"/>
      <c r="Q590" s="6"/>
      <c r="R590" s="6"/>
      <c r="S590" s="6"/>
      <c r="T590" s="6"/>
      <c r="U590" s="6"/>
      <c r="V590" s="6"/>
      <c r="W590" s="6"/>
      <c r="X590" s="6"/>
    </row>
    <row r="591" hidden="1">
      <c r="A591" s="6"/>
      <c r="B591" s="6"/>
      <c r="C591" s="6"/>
      <c r="D591" s="6"/>
      <c r="E591" s="6"/>
      <c r="F591" s="6"/>
      <c r="G591" s="6" t="str">
        <f>IFERROR(__xludf.DUMMYFUNCTION("""COMPUTED_VALUE"""),"")</f>
        <v/>
      </c>
      <c r="H591" s="6"/>
      <c r="I591" s="6"/>
      <c r="J591" s="6"/>
      <c r="K591" s="6"/>
      <c r="L591" s="6"/>
      <c r="M591" s="6"/>
      <c r="N591" s="6"/>
      <c r="O591" s="6"/>
      <c r="P591" s="6"/>
      <c r="Q591" s="6"/>
      <c r="R591" s="6"/>
      <c r="S591" s="6"/>
      <c r="T591" s="6"/>
      <c r="U591" s="6"/>
      <c r="V591" s="6"/>
      <c r="W591" s="6"/>
      <c r="X591" s="6"/>
    </row>
    <row r="592" hidden="1">
      <c r="A592" s="6"/>
      <c r="B592" s="6"/>
      <c r="C592" s="6"/>
      <c r="D592" s="6"/>
      <c r="E592" s="6"/>
      <c r="F592" s="6"/>
      <c r="G592" s="6" t="str">
        <f>IFERROR(__xludf.DUMMYFUNCTION("""COMPUTED_VALUE"""),"")</f>
        <v/>
      </c>
      <c r="H592" s="6"/>
      <c r="I592" s="6"/>
      <c r="J592" s="6"/>
      <c r="K592" s="6"/>
      <c r="L592" s="6"/>
      <c r="M592" s="6"/>
      <c r="N592" s="6"/>
      <c r="O592" s="6"/>
      <c r="P592" s="6"/>
      <c r="Q592" s="6"/>
      <c r="R592" s="6"/>
      <c r="S592" s="6"/>
      <c r="T592" s="6"/>
      <c r="U592" s="6"/>
      <c r="V592" s="6"/>
      <c r="W592" s="6"/>
      <c r="X592" s="6"/>
    </row>
    <row r="593" hidden="1">
      <c r="A593" s="6"/>
      <c r="B593" s="6"/>
      <c r="C593" s="6"/>
      <c r="D593" s="6"/>
      <c r="E593" s="6"/>
      <c r="F593" s="6"/>
      <c r="G593" s="6" t="str">
        <f>IFERROR(__xludf.DUMMYFUNCTION("""COMPUTED_VALUE"""),"")</f>
        <v/>
      </c>
      <c r="H593" s="6"/>
      <c r="I593" s="6"/>
      <c r="J593" s="6"/>
      <c r="K593" s="6"/>
      <c r="L593" s="6"/>
      <c r="M593" s="6"/>
      <c r="N593" s="6"/>
      <c r="O593" s="6"/>
      <c r="P593" s="6"/>
      <c r="Q593" s="6"/>
      <c r="R593" s="6"/>
      <c r="S593" s="6"/>
      <c r="T593" s="6"/>
      <c r="U593" s="6"/>
      <c r="V593" s="6"/>
      <c r="W593" s="6"/>
      <c r="X593" s="6"/>
    </row>
    <row r="594" hidden="1">
      <c r="A594" s="6"/>
      <c r="B594" s="6"/>
      <c r="C594" s="6"/>
      <c r="D594" s="6"/>
      <c r="E594" s="6"/>
      <c r="F594" s="6"/>
      <c r="G594" s="6" t="str">
        <f>IFERROR(__xludf.DUMMYFUNCTION("""COMPUTED_VALUE"""),"")</f>
        <v/>
      </c>
      <c r="H594" s="6"/>
      <c r="I594" s="6"/>
      <c r="J594" s="6"/>
      <c r="K594" s="6"/>
      <c r="L594" s="6"/>
      <c r="M594" s="6"/>
      <c r="N594" s="6"/>
      <c r="O594" s="6"/>
      <c r="P594" s="6"/>
      <c r="Q594" s="6"/>
      <c r="R594" s="6"/>
      <c r="S594" s="6"/>
      <c r="T594" s="6"/>
      <c r="U594" s="6"/>
      <c r="V594" s="6"/>
      <c r="W594" s="6"/>
      <c r="X594" s="6"/>
    </row>
    <row r="595" hidden="1">
      <c r="A595" s="6"/>
      <c r="B595" s="6"/>
      <c r="C595" s="6"/>
      <c r="D595" s="6"/>
      <c r="E595" s="6"/>
      <c r="F595" s="6"/>
      <c r="G595" s="6" t="str">
        <f>IFERROR(__xludf.DUMMYFUNCTION("""COMPUTED_VALUE"""),"")</f>
        <v/>
      </c>
      <c r="H595" s="6"/>
      <c r="I595" s="6"/>
      <c r="J595" s="6"/>
      <c r="K595" s="6"/>
      <c r="L595" s="6"/>
      <c r="M595" s="6"/>
      <c r="N595" s="6"/>
      <c r="O595" s="6"/>
      <c r="P595" s="6"/>
      <c r="Q595" s="6"/>
      <c r="R595" s="6"/>
      <c r="S595" s="6"/>
      <c r="T595" s="6"/>
      <c r="U595" s="6"/>
      <c r="V595" s="6"/>
      <c r="W595" s="6"/>
      <c r="X595" s="6"/>
    </row>
    <row r="596" hidden="1">
      <c r="A596" s="6"/>
      <c r="B596" s="6"/>
      <c r="C596" s="6"/>
      <c r="D596" s="6"/>
      <c r="E596" s="6"/>
      <c r="F596" s="6"/>
      <c r="G596" s="6" t="str">
        <f>IFERROR(__xludf.DUMMYFUNCTION("""COMPUTED_VALUE"""),"")</f>
        <v/>
      </c>
      <c r="H596" s="6"/>
      <c r="I596" s="6"/>
      <c r="J596" s="6"/>
      <c r="K596" s="6"/>
      <c r="L596" s="6"/>
      <c r="M596" s="6"/>
      <c r="N596" s="6"/>
      <c r="O596" s="6"/>
      <c r="P596" s="6"/>
      <c r="Q596" s="6"/>
      <c r="R596" s="6"/>
      <c r="S596" s="6"/>
      <c r="T596" s="6"/>
      <c r="U596" s="6"/>
      <c r="V596" s="6"/>
      <c r="W596" s="6"/>
      <c r="X596" s="6"/>
    </row>
    <row r="597" hidden="1">
      <c r="A597" s="6"/>
      <c r="B597" s="6"/>
      <c r="C597" s="6"/>
      <c r="D597" s="6"/>
      <c r="E597" s="6"/>
      <c r="F597" s="6"/>
      <c r="G597" s="6" t="str">
        <f>IFERROR(__xludf.DUMMYFUNCTION("""COMPUTED_VALUE"""),"")</f>
        <v/>
      </c>
      <c r="H597" s="6"/>
      <c r="I597" s="6"/>
      <c r="J597" s="6"/>
      <c r="K597" s="6"/>
      <c r="L597" s="6"/>
      <c r="M597" s="6"/>
      <c r="N597" s="6"/>
      <c r="O597" s="6"/>
      <c r="P597" s="6"/>
      <c r="Q597" s="6"/>
      <c r="R597" s="6"/>
      <c r="S597" s="6"/>
      <c r="T597" s="6"/>
      <c r="U597" s="6"/>
      <c r="V597" s="6"/>
      <c r="W597" s="6"/>
      <c r="X597" s="6"/>
    </row>
    <row r="598" hidden="1">
      <c r="A598" s="6"/>
      <c r="B598" s="6"/>
      <c r="C598" s="6"/>
      <c r="D598" s="6"/>
      <c r="E598" s="6"/>
      <c r="F598" s="6"/>
      <c r="G598" s="6" t="str">
        <f>IFERROR(__xludf.DUMMYFUNCTION("""COMPUTED_VALUE"""),"")</f>
        <v/>
      </c>
      <c r="H598" s="6"/>
      <c r="I598" s="6"/>
      <c r="J598" s="6"/>
      <c r="K598" s="6"/>
      <c r="L598" s="6"/>
      <c r="M598" s="6"/>
      <c r="N598" s="6"/>
      <c r="O598" s="6"/>
      <c r="P598" s="6"/>
      <c r="Q598" s="6"/>
      <c r="R598" s="6"/>
      <c r="S598" s="6"/>
      <c r="T598" s="6"/>
      <c r="U598" s="6"/>
      <c r="V598" s="6"/>
      <c r="W598" s="6"/>
      <c r="X598" s="6"/>
    </row>
    <row r="599" hidden="1">
      <c r="A599" s="6"/>
      <c r="B599" s="6"/>
      <c r="C599" s="6"/>
      <c r="D599" s="6"/>
      <c r="E599" s="6"/>
      <c r="F599" s="6"/>
      <c r="G599" s="6" t="str">
        <f>IFERROR(__xludf.DUMMYFUNCTION("""COMPUTED_VALUE"""),"")</f>
        <v/>
      </c>
      <c r="H599" s="6"/>
      <c r="I599" s="6"/>
      <c r="J599" s="6"/>
      <c r="K599" s="6"/>
      <c r="L599" s="6"/>
      <c r="M599" s="6"/>
      <c r="N599" s="6"/>
      <c r="O599" s="6"/>
      <c r="P599" s="6"/>
      <c r="Q599" s="6"/>
      <c r="R599" s="6"/>
      <c r="S599" s="6"/>
      <c r="T599" s="6"/>
      <c r="U599" s="6"/>
      <c r="V599" s="6"/>
      <c r="W599" s="6"/>
      <c r="X599" s="6"/>
    </row>
    <row r="600" hidden="1">
      <c r="A600" s="6"/>
      <c r="B600" s="6"/>
      <c r="C600" s="6"/>
      <c r="D600" s="6"/>
      <c r="E600" s="6"/>
      <c r="F600" s="6"/>
      <c r="G600" s="6" t="str">
        <f>IFERROR(__xludf.DUMMYFUNCTION("""COMPUTED_VALUE"""),"")</f>
        <v/>
      </c>
      <c r="H600" s="6"/>
      <c r="I600" s="6"/>
      <c r="J600" s="6"/>
      <c r="K600" s="6"/>
      <c r="L600" s="6"/>
      <c r="M600" s="6"/>
      <c r="N600" s="6"/>
      <c r="O600" s="6"/>
      <c r="P600" s="6"/>
      <c r="Q600" s="6"/>
      <c r="R600" s="6"/>
      <c r="S600" s="6"/>
      <c r="T600" s="6"/>
      <c r="U600" s="6"/>
      <c r="V600" s="6"/>
      <c r="W600" s="6"/>
      <c r="X600" s="6"/>
    </row>
    <row r="601" hidden="1">
      <c r="A601" s="6"/>
      <c r="B601" s="6"/>
      <c r="C601" s="6"/>
      <c r="D601" s="6"/>
      <c r="E601" s="6"/>
      <c r="F601" s="6"/>
      <c r="G601" s="6" t="str">
        <f>IFERROR(__xludf.DUMMYFUNCTION("""COMPUTED_VALUE"""),"")</f>
        <v/>
      </c>
      <c r="H601" s="6"/>
      <c r="I601" s="6"/>
      <c r="J601" s="6"/>
      <c r="K601" s="6"/>
      <c r="L601" s="6"/>
      <c r="M601" s="6"/>
      <c r="N601" s="6"/>
      <c r="O601" s="6"/>
      <c r="P601" s="6"/>
      <c r="Q601" s="6"/>
      <c r="R601" s="6"/>
      <c r="S601" s="6"/>
      <c r="T601" s="6"/>
      <c r="U601" s="6"/>
      <c r="V601" s="6"/>
      <c r="W601" s="6"/>
      <c r="X601" s="6"/>
    </row>
    <row r="602" hidden="1">
      <c r="A602" s="6"/>
      <c r="B602" s="6"/>
      <c r="C602" s="6"/>
      <c r="D602" s="6"/>
      <c r="E602" s="6"/>
      <c r="F602" s="6"/>
      <c r="G602" s="6" t="str">
        <f>IFERROR(__xludf.DUMMYFUNCTION("""COMPUTED_VALUE"""),"")</f>
        <v/>
      </c>
      <c r="H602" s="6"/>
      <c r="I602" s="6"/>
      <c r="J602" s="6"/>
      <c r="K602" s="6"/>
      <c r="L602" s="6"/>
      <c r="M602" s="6"/>
      <c r="N602" s="6"/>
      <c r="O602" s="6"/>
      <c r="P602" s="6"/>
      <c r="Q602" s="6"/>
      <c r="R602" s="6"/>
      <c r="S602" s="6"/>
      <c r="T602" s="6"/>
      <c r="U602" s="6"/>
      <c r="V602" s="6"/>
      <c r="W602" s="6"/>
      <c r="X602" s="6"/>
    </row>
    <row r="603" hidden="1">
      <c r="A603" s="6"/>
      <c r="B603" s="6"/>
      <c r="C603" s="6"/>
      <c r="D603" s="6"/>
      <c r="E603" s="6"/>
      <c r="F603" s="6"/>
      <c r="G603" s="6" t="str">
        <f>IFERROR(__xludf.DUMMYFUNCTION("""COMPUTED_VALUE"""),"")</f>
        <v/>
      </c>
      <c r="H603" s="6"/>
      <c r="I603" s="6"/>
      <c r="J603" s="6"/>
      <c r="K603" s="6"/>
      <c r="L603" s="6"/>
      <c r="M603" s="6"/>
      <c r="N603" s="6"/>
      <c r="O603" s="6"/>
      <c r="P603" s="6"/>
      <c r="Q603" s="6"/>
      <c r="R603" s="6"/>
      <c r="S603" s="6"/>
      <c r="T603" s="6"/>
      <c r="U603" s="6"/>
      <c r="V603" s="6"/>
      <c r="W603" s="6"/>
      <c r="X603" s="6"/>
    </row>
    <row r="604" hidden="1">
      <c r="A604" s="6"/>
      <c r="B604" s="6"/>
      <c r="C604" s="6"/>
      <c r="D604" s="6"/>
      <c r="E604" s="6"/>
      <c r="F604" s="6"/>
      <c r="G604" s="6" t="str">
        <f>IFERROR(__xludf.DUMMYFUNCTION("""COMPUTED_VALUE"""),"")</f>
        <v/>
      </c>
      <c r="H604" s="6"/>
      <c r="I604" s="6"/>
      <c r="J604" s="6"/>
      <c r="K604" s="6"/>
      <c r="L604" s="6"/>
      <c r="M604" s="6"/>
      <c r="N604" s="6"/>
      <c r="O604" s="6"/>
      <c r="P604" s="6"/>
      <c r="Q604" s="6"/>
      <c r="R604" s="6"/>
      <c r="S604" s="6"/>
      <c r="T604" s="6"/>
      <c r="U604" s="6"/>
      <c r="V604" s="6"/>
      <c r="W604" s="6"/>
      <c r="X604" s="6"/>
    </row>
    <row r="605" hidden="1">
      <c r="A605" s="6"/>
      <c r="B605" s="6"/>
      <c r="C605" s="6"/>
      <c r="D605" s="6"/>
      <c r="E605" s="6"/>
      <c r="F605" s="6"/>
      <c r="G605" s="6" t="str">
        <f>IFERROR(__xludf.DUMMYFUNCTION("""COMPUTED_VALUE"""),"")</f>
        <v/>
      </c>
      <c r="H605" s="6"/>
      <c r="I605" s="6"/>
      <c r="J605" s="6"/>
      <c r="K605" s="6"/>
      <c r="L605" s="6"/>
      <c r="M605" s="6"/>
      <c r="N605" s="6"/>
      <c r="O605" s="6"/>
      <c r="P605" s="6"/>
      <c r="Q605" s="6"/>
      <c r="R605" s="6"/>
      <c r="S605" s="6"/>
      <c r="T605" s="6"/>
      <c r="U605" s="6"/>
      <c r="V605" s="6"/>
      <c r="W605" s="6"/>
      <c r="X605" s="6"/>
    </row>
    <row r="606" hidden="1">
      <c r="A606" s="6"/>
      <c r="B606" s="6"/>
      <c r="C606" s="6"/>
      <c r="D606" s="6"/>
      <c r="E606" s="6"/>
      <c r="F606" s="6"/>
      <c r="G606" s="6" t="str">
        <f>IFERROR(__xludf.DUMMYFUNCTION("""COMPUTED_VALUE"""),"")</f>
        <v/>
      </c>
      <c r="H606" s="6"/>
      <c r="I606" s="6"/>
      <c r="J606" s="6"/>
      <c r="K606" s="6"/>
      <c r="L606" s="6"/>
      <c r="M606" s="6"/>
      <c r="N606" s="6"/>
      <c r="O606" s="6"/>
      <c r="P606" s="6"/>
      <c r="Q606" s="6"/>
      <c r="R606" s="6"/>
      <c r="S606" s="6"/>
      <c r="T606" s="6"/>
      <c r="U606" s="6"/>
      <c r="V606" s="6"/>
      <c r="W606" s="6"/>
      <c r="X606" s="6"/>
    </row>
    <row r="607" hidden="1">
      <c r="A607" s="6"/>
      <c r="B607" s="6"/>
      <c r="C607" s="6"/>
      <c r="D607" s="6"/>
      <c r="E607" s="6"/>
      <c r="F607" s="6"/>
      <c r="G607" s="6" t="str">
        <f>IFERROR(__xludf.DUMMYFUNCTION("""COMPUTED_VALUE"""),"")</f>
        <v/>
      </c>
      <c r="H607" s="6"/>
      <c r="I607" s="6"/>
      <c r="J607" s="6"/>
      <c r="K607" s="6"/>
      <c r="L607" s="6"/>
      <c r="M607" s="6"/>
      <c r="N607" s="6"/>
      <c r="O607" s="6"/>
      <c r="P607" s="6"/>
      <c r="Q607" s="6"/>
      <c r="R607" s="6"/>
      <c r="S607" s="6"/>
      <c r="T607" s="6"/>
      <c r="U607" s="6"/>
      <c r="V607" s="6"/>
      <c r="W607" s="6"/>
      <c r="X607" s="6"/>
    </row>
    <row r="608" hidden="1">
      <c r="A608" s="6"/>
      <c r="B608" s="6"/>
      <c r="C608" s="6"/>
      <c r="D608" s="6"/>
      <c r="E608" s="6"/>
      <c r="F608" s="6"/>
      <c r="G608" s="6" t="str">
        <f>IFERROR(__xludf.DUMMYFUNCTION("""COMPUTED_VALUE"""),"")</f>
        <v/>
      </c>
      <c r="H608" s="6"/>
      <c r="I608" s="6"/>
      <c r="J608" s="6"/>
      <c r="K608" s="6"/>
      <c r="L608" s="6"/>
      <c r="M608" s="6"/>
      <c r="N608" s="6"/>
      <c r="O608" s="6"/>
      <c r="P608" s="6"/>
      <c r="Q608" s="6"/>
      <c r="R608" s="6"/>
      <c r="S608" s="6"/>
      <c r="T608" s="6"/>
      <c r="U608" s="6"/>
      <c r="V608" s="6"/>
      <c r="W608" s="6"/>
      <c r="X608" s="6"/>
    </row>
    <row r="609" hidden="1">
      <c r="A609" s="6"/>
      <c r="B609" s="6"/>
      <c r="C609" s="6"/>
      <c r="D609" s="6"/>
      <c r="E609" s="6"/>
      <c r="F609" s="6"/>
      <c r="G609" s="6" t="str">
        <f>IFERROR(__xludf.DUMMYFUNCTION("""COMPUTED_VALUE"""),"")</f>
        <v/>
      </c>
      <c r="H609" s="6"/>
      <c r="I609" s="6"/>
      <c r="J609" s="6"/>
      <c r="K609" s="6"/>
      <c r="L609" s="6"/>
      <c r="M609" s="6"/>
      <c r="N609" s="6"/>
      <c r="O609" s="6"/>
      <c r="P609" s="6"/>
      <c r="Q609" s="6"/>
      <c r="R609" s="6"/>
      <c r="S609" s="6"/>
      <c r="T609" s="6"/>
      <c r="U609" s="6"/>
      <c r="V609" s="6"/>
      <c r="W609" s="6"/>
      <c r="X609" s="6"/>
    </row>
    <row r="610" hidden="1">
      <c r="A610" s="6"/>
      <c r="B610" s="6"/>
      <c r="C610" s="6"/>
      <c r="D610" s="6"/>
      <c r="E610" s="6"/>
      <c r="F610" s="6"/>
      <c r="G610" s="6" t="str">
        <f>IFERROR(__xludf.DUMMYFUNCTION("""COMPUTED_VALUE"""),"")</f>
        <v/>
      </c>
      <c r="H610" s="6"/>
      <c r="I610" s="6"/>
      <c r="J610" s="6"/>
      <c r="K610" s="6"/>
      <c r="L610" s="6"/>
      <c r="M610" s="6"/>
      <c r="N610" s="6"/>
      <c r="O610" s="6"/>
      <c r="P610" s="6"/>
      <c r="Q610" s="6"/>
      <c r="R610" s="6"/>
      <c r="S610" s="6"/>
      <c r="T610" s="6"/>
      <c r="U610" s="6"/>
      <c r="V610" s="6"/>
      <c r="W610" s="6"/>
      <c r="X610" s="6"/>
    </row>
    <row r="611" hidden="1">
      <c r="A611" s="6"/>
      <c r="B611" s="6"/>
      <c r="C611" s="6"/>
      <c r="D611" s="6"/>
      <c r="E611" s="6"/>
      <c r="F611" s="6"/>
      <c r="G611" s="6" t="str">
        <f>IFERROR(__xludf.DUMMYFUNCTION("""COMPUTED_VALUE"""),"")</f>
        <v/>
      </c>
      <c r="H611" s="6"/>
      <c r="I611" s="6"/>
      <c r="J611" s="6"/>
      <c r="K611" s="6"/>
      <c r="L611" s="6"/>
      <c r="M611" s="6"/>
      <c r="N611" s="6"/>
      <c r="O611" s="6"/>
      <c r="P611" s="6"/>
      <c r="Q611" s="6"/>
      <c r="R611" s="6"/>
      <c r="S611" s="6"/>
      <c r="T611" s="6"/>
      <c r="U611" s="6"/>
      <c r="V611" s="6"/>
      <c r="W611" s="6"/>
      <c r="X611" s="6"/>
    </row>
    <row r="612" hidden="1">
      <c r="A612" s="6"/>
      <c r="B612" s="6"/>
      <c r="C612" s="6"/>
      <c r="D612" s="6"/>
      <c r="E612" s="6"/>
      <c r="F612" s="6"/>
      <c r="G612" s="6" t="str">
        <f>IFERROR(__xludf.DUMMYFUNCTION("""COMPUTED_VALUE"""),"")</f>
        <v/>
      </c>
      <c r="H612" s="6"/>
      <c r="I612" s="6"/>
      <c r="J612" s="6"/>
      <c r="K612" s="6"/>
      <c r="L612" s="6"/>
      <c r="M612" s="6"/>
      <c r="N612" s="6"/>
      <c r="O612" s="6"/>
      <c r="P612" s="6"/>
      <c r="Q612" s="6"/>
      <c r="R612" s="6"/>
      <c r="S612" s="6"/>
      <c r="T612" s="6"/>
      <c r="U612" s="6"/>
      <c r="V612" s="6"/>
      <c r="W612" s="6"/>
      <c r="X612" s="6"/>
    </row>
    <row r="613" hidden="1">
      <c r="A613" s="6"/>
      <c r="B613" s="6"/>
      <c r="C613" s="6"/>
      <c r="D613" s="6"/>
      <c r="E613" s="6"/>
      <c r="F613" s="6"/>
      <c r="G613" s="6" t="str">
        <f>IFERROR(__xludf.DUMMYFUNCTION("""COMPUTED_VALUE"""),"")</f>
        <v/>
      </c>
      <c r="H613" s="6"/>
      <c r="I613" s="6"/>
      <c r="J613" s="6"/>
      <c r="K613" s="6"/>
      <c r="L613" s="6"/>
      <c r="M613" s="6"/>
      <c r="N613" s="6"/>
      <c r="O613" s="6"/>
      <c r="P613" s="6"/>
      <c r="Q613" s="6"/>
      <c r="R613" s="6"/>
      <c r="S613" s="6"/>
      <c r="T613" s="6"/>
      <c r="U613" s="6"/>
      <c r="V613" s="6"/>
      <c r="W613" s="6"/>
      <c r="X613" s="6"/>
    </row>
    <row r="614" hidden="1">
      <c r="A614" s="6"/>
      <c r="B614" s="6"/>
      <c r="C614" s="6"/>
      <c r="D614" s="6"/>
      <c r="E614" s="6"/>
      <c r="F614" s="6"/>
      <c r="G614" s="6" t="str">
        <f>IFERROR(__xludf.DUMMYFUNCTION("""COMPUTED_VALUE"""),"")</f>
        <v/>
      </c>
      <c r="H614" s="6"/>
      <c r="I614" s="6"/>
      <c r="J614" s="6"/>
      <c r="K614" s="6"/>
      <c r="L614" s="6"/>
      <c r="M614" s="6"/>
      <c r="N614" s="6"/>
      <c r="O614" s="6"/>
      <c r="P614" s="6"/>
      <c r="Q614" s="6"/>
      <c r="R614" s="6"/>
      <c r="S614" s="6"/>
      <c r="T614" s="6"/>
      <c r="U614" s="6"/>
      <c r="V614" s="6"/>
      <c r="W614" s="6"/>
      <c r="X614" s="6"/>
    </row>
    <row r="615" hidden="1">
      <c r="A615" s="6"/>
      <c r="B615" s="6"/>
      <c r="C615" s="6"/>
      <c r="D615" s="6"/>
      <c r="E615" s="6"/>
      <c r="F615" s="6"/>
      <c r="G615" s="6" t="str">
        <f>IFERROR(__xludf.DUMMYFUNCTION("""COMPUTED_VALUE"""),"")</f>
        <v/>
      </c>
      <c r="H615" s="6"/>
      <c r="I615" s="6"/>
      <c r="J615" s="6"/>
      <c r="K615" s="6"/>
      <c r="L615" s="6"/>
      <c r="M615" s="6"/>
      <c r="N615" s="6"/>
      <c r="O615" s="6"/>
      <c r="P615" s="6"/>
      <c r="Q615" s="6"/>
      <c r="R615" s="6"/>
      <c r="S615" s="6"/>
      <c r="T615" s="6"/>
      <c r="U615" s="6"/>
      <c r="V615" s="6"/>
      <c r="W615" s="6"/>
      <c r="X615" s="6"/>
    </row>
    <row r="616" hidden="1">
      <c r="A616" s="6"/>
      <c r="B616" s="6"/>
      <c r="C616" s="6"/>
      <c r="D616" s="6"/>
      <c r="E616" s="6"/>
      <c r="F616" s="6"/>
      <c r="G616" s="6" t="str">
        <f>IFERROR(__xludf.DUMMYFUNCTION("""COMPUTED_VALUE"""),"")</f>
        <v/>
      </c>
      <c r="H616" s="6"/>
      <c r="I616" s="6"/>
      <c r="J616" s="6"/>
      <c r="K616" s="6"/>
      <c r="L616" s="6"/>
      <c r="M616" s="6"/>
      <c r="N616" s="6"/>
      <c r="O616" s="6"/>
      <c r="P616" s="6"/>
      <c r="Q616" s="6"/>
      <c r="R616" s="6"/>
      <c r="S616" s="6"/>
      <c r="T616" s="6"/>
      <c r="U616" s="6"/>
      <c r="V616" s="6"/>
      <c r="W616" s="6"/>
      <c r="X616" s="6"/>
    </row>
    <row r="617" hidden="1">
      <c r="A617" s="6"/>
      <c r="B617" s="6"/>
      <c r="C617" s="6"/>
      <c r="D617" s="6"/>
      <c r="E617" s="6"/>
      <c r="F617" s="6"/>
      <c r="G617" s="6" t="str">
        <f>IFERROR(__xludf.DUMMYFUNCTION("""COMPUTED_VALUE"""),"")</f>
        <v/>
      </c>
      <c r="H617" s="6"/>
      <c r="I617" s="6"/>
      <c r="J617" s="6"/>
      <c r="K617" s="6"/>
      <c r="L617" s="6"/>
      <c r="M617" s="6"/>
      <c r="N617" s="6"/>
      <c r="O617" s="6"/>
      <c r="P617" s="6"/>
      <c r="Q617" s="6"/>
      <c r="R617" s="6"/>
      <c r="S617" s="6"/>
      <c r="T617" s="6"/>
      <c r="U617" s="6"/>
      <c r="V617" s="6"/>
      <c r="W617" s="6"/>
      <c r="X617" s="6"/>
    </row>
    <row r="618" hidden="1">
      <c r="A618" s="6"/>
      <c r="B618" s="6"/>
      <c r="C618" s="6"/>
      <c r="D618" s="6"/>
      <c r="E618" s="6"/>
      <c r="F618" s="6"/>
      <c r="G618" s="6" t="str">
        <f>IFERROR(__xludf.DUMMYFUNCTION("""COMPUTED_VALUE"""),"")</f>
        <v/>
      </c>
      <c r="H618" s="6"/>
      <c r="I618" s="6"/>
      <c r="J618" s="6"/>
      <c r="K618" s="6"/>
      <c r="L618" s="6"/>
      <c r="M618" s="6"/>
      <c r="N618" s="6"/>
      <c r="O618" s="6"/>
      <c r="P618" s="6"/>
      <c r="Q618" s="6"/>
      <c r="R618" s="6"/>
      <c r="S618" s="6"/>
      <c r="T618" s="6"/>
      <c r="U618" s="6"/>
      <c r="V618" s="6"/>
      <c r="W618" s="6"/>
      <c r="X618" s="6"/>
    </row>
    <row r="619" hidden="1">
      <c r="A619" s="6"/>
      <c r="B619" s="6"/>
      <c r="C619" s="6"/>
      <c r="D619" s="6"/>
      <c r="E619" s="6"/>
      <c r="F619" s="6"/>
      <c r="G619" s="6" t="str">
        <f>IFERROR(__xludf.DUMMYFUNCTION("""COMPUTED_VALUE"""),"")</f>
        <v/>
      </c>
      <c r="H619" s="6"/>
      <c r="I619" s="6"/>
      <c r="J619" s="6"/>
      <c r="K619" s="6"/>
      <c r="L619" s="6"/>
      <c r="M619" s="6"/>
      <c r="N619" s="6"/>
      <c r="O619" s="6"/>
      <c r="P619" s="6"/>
      <c r="Q619" s="6"/>
      <c r="R619" s="6"/>
      <c r="S619" s="6"/>
      <c r="T619" s="6"/>
      <c r="U619" s="6"/>
      <c r="V619" s="6"/>
      <c r="W619" s="6"/>
      <c r="X619" s="6"/>
    </row>
    <row r="620" hidden="1">
      <c r="A620" s="6"/>
      <c r="B620" s="6"/>
      <c r="C620" s="6"/>
      <c r="D620" s="6"/>
      <c r="E620" s="6"/>
      <c r="F620" s="6"/>
      <c r="G620" s="6" t="str">
        <f>IFERROR(__xludf.DUMMYFUNCTION("""COMPUTED_VALUE"""),"")</f>
        <v/>
      </c>
      <c r="H620" s="6"/>
      <c r="I620" s="6"/>
      <c r="J620" s="6"/>
      <c r="K620" s="6"/>
      <c r="L620" s="6"/>
      <c r="M620" s="6"/>
      <c r="N620" s="6"/>
      <c r="O620" s="6"/>
      <c r="P620" s="6"/>
      <c r="Q620" s="6"/>
      <c r="R620" s="6"/>
      <c r="S620" s="6"/>
      <c r="T620" s="6"/>
      <c r="U620" s="6"/>
      <c r="V620" s="6"/>
      <c r="W620" s="6"/>
      <c r="X620" s="6"/>
    </row>
    <row r="621" hidden="1">
      <c r="A621" s="6"/>
      <c r="B621" s="6"/>
      <c r="C621" s="6"/>
      <c r="D621" s="6"/>
      <c r="E621" s="6"/>
      <c r="F621" s="6"/>
      <c r="G621" s="6" t="str">
        <f>IFERROR(__xludf.DUMMYFUNCTION("""COMPUTED_VALUE"""),"")</f>
        <v/>
      </c>
      <c r="H621" s="6"/>
      <c r="I621" s="6"/>
      <c r="J621" s="6"/>
      <c r="K621" s="6"/>
      <c r="L621" s="6"/>
      <c r="M621" s="6"/>
      <c r="N621" s="6"/>
      <c r="O621" s="6"/>
      <c r="P621" s="6"/>
      <c r="Q621" s="6"/>
      <c r="R621" s="6"/>
      <c r="S621" s="6"/>
      <c r="T621" s="6"/>
      <c r="U621" s="6"/>
      <c r="V621" s="6"/>
      <c r="W621" s="6"/>
      <c r="X621" s="6"/>
    </row>
    <row r="622" hidden="1">
      <c r="A622" s="6"/>
      <c r="B622" s="6"/>
      <c r="C622" s="6"/>
      <c r="D622" s="6"/>
      <c r="E622" s="6"/>
      <c r="F622" s="6"/>
      <c r="G622" s="6" t="str">
        <f>IFERROR(__xludf.DUMMYFUNCTION("""COMPUTED_VALUE"""),"")</f>
        <v/>
      </c>
      <c r="H622" s="6"/>
      <c r="I622" s="6"/>
      <c r="J622" s="6"/>
      <c r="K622" s="6"/>
      <c r="L622" s="6"/>
      <c r="M622" s="6"/>
      <c r="N622" s="6"/>
      <c r="O622" s="6"/>
      <c r="P622" s="6"/>
      <c r="Q622" s="6"/>
      <c r="R622" s="6"/>
      <c r="S622" s="6"/>
      <c r="T622" s="6"/>
      <c r="U622" s="6"/>
      <c r="V622" s="6"/>
      <c r="W622" s="6"/>
      <c r="X622" s="6"/>
    </row>
    <row r="623" hidden="1">
      <c r="A623" s="6"/>
      <c r="B623" s="6"/>
      <c r="C623" s="6"/>
      <c r="D623" s="6"/>
      <c r="E623" s="6"/>
      <c r="F623" s="6"/>
      <c r="G623" s="6" t="str">
        <f>IFERROR(__xludf.DUMMYFUNCTION("""COMPUTED_VALUE"""),"")</f>
        <v/>
      </c>
      <c r="H623" s="6"/>
      <c r="I623" s="6"/>
      <c r="J623" s="6"/>
      <c r="K623" s="6"/>
      <c r="L623" s="6"/>
      <c r="M623" s="6"/>
      <c r="N623" s="6"/>
      <c r="O623" s="6"/>
      <c r="P623" s="6"/>
      <c r="Q623" s="6"/>
      <c r="R623" s="6"/>
      <c r="S623" s="6"/>
      <c r="T623" s="6"/>
      <c r="U623" s="6"/>
      <c r="V623" s="6"/>
      <c r="W623" s="6"/>
      <c r="X623" s="6"/>
    </row>
    <row r="624" hidden="1">
      <c r="A624" s="6"/>
      <c r="B624" s="6"/>
      <c r="C624" s="6"/>
      <c r="D624" s="6"/>
      <c r="E624" s="6"/>
      <c r="F624" s="6"/>
      <c r="G624" s="6" t="str">
        <f>IFERROR(__xludf.DUMMYFUNCTION("""COMPUTED_VALUE"""),"")</f>
        <v/>
      </c>
      <c r="H624" s="6"/>
      <c r="I624" s="6"/>
      <c r="J624" s="6"/>
      <c r="K624" s="6"/>
      <c r="L624" s="6"/>
      <c r="M624" s="6"/>
      <c r="N624" s="6"/>
      <c r="O624" s="6"/>
      <c r="P624" s="6"/>
      <c r="Q624" s="6"/>
      <c r="R624" s="6"/>
      <c r="S624" s="6"/>
      <c r="T624" s="6"/>
      <c r="U624" s="6"/>
      <c r="V624" s="6"/>
      <c r="W624" s="6"/>
      <c r="X624" s="6"/>
    </row>
    <row r="625" hidden="1">
      <c r="A625" s="6"/>
      <c r="B625" s="6"/>
      <c r="C625" s="6"/>
      <c r="D625" s="6"/>
      <c r="E625" s="6"/>
      <c r="F625" s="6"/>
      <c r="G625" s="6" t="str">
        <f>IFERROR(__xludf.DUMMYFUNCTION("""COMPUTED_VALUE"""),"")</f>
        <v/>
      </c>
      <c r="H625" s="6"/>
      <c r="I625" s="6"/>
      <c r="J625" s="6"/>
      <c r="K625" s="6"/>
      <c r="L625" s="6"/>
      <c r="M625" s="6"/>
      <c r="N625" s="6"/>
      <c r="O625" s="6"/>
      <c r="P625" s="6"/>
      <c r="Q625" s="6"/>
      <c r="R625" s="6"/>
      <c r="S625" s="6"/>
      <c r="T625" s="6"/>
      <c r="U625" s="6"/>
      <c r="V625" s="6"/>
      <c r="W625" s="6"/>
      <c r="X625" s="6"/>
    </row>
    <row r="626" hidden="1">
      <c r="A626" s="6"/>
      <c r="B626" s="6"/>
      <c r="C626" s="6"/>
      <c r="D626" s="6"/>
      <c r="E626" s="6"/>
      <c r="F626" s="6"/>
      <c r="G626" s="6" t="str">
        <f>IFERROR(__xludf.DUMMYFUNCTION("""COMPUTED_VALUE"""),"")</f>
        <v/>
      </c>
      <c r="H626" s="6"/>
      <c r="I626" s="6"/>
      <c r="J626" s="6"/>
      <c r="K626" s="6"/>
      <c r="L626" s="6"/>
      <c r="M626" s="6"/>
      <c r="N626" s="6"/>
      <c r="O626" s="6"/>
      <c r="P626" s="6"/>
      <c r="Q626" s="6"/>
      <c r="R626" s="6"/>
      <c r="S626" s="6"/>
      <c r="T626" s="6"/>
      <c r="U626" s="6"/>
      <c r="V626" s="6"/>
      <c r="W626" s="6"/>
      <c r="X626" s="6"/>
    </row>
    <row r="627" hidden="1">
      <c r="A627" s="6"/>
      <c r="B627" s="6"/>
      <c r="C627" s="6"/>
      <c r="D627" s="6"/>
      <c r="E627" s="6"/>
      <c r="F627" s="6"/>
      <c r="G627" s="6" t="str">
        <f>IFERROR(__xludf.DUMMYFUNCTION("""COMPUTED_VALUE"""),"")</f>
        <v/>
      </c>
      <c r="H627" s="6"/>
      <c r="I627" s="6"/>
      <c r="J627" s="6"/>
      <c r="K627" s="6"/>
      <c r="L627" s="6"/>
      <c r="M627" s="6"/>
      <c r="N627" s="6"/>
      <c r="O627" s="6"/>
      <c r="P627" s="6"/>
      <c r="Q627" s="6"/>
      <c r="R627" s="6"/>
      <c r="S627" s="6"/>
      <c r="T627" s="6"/>
      <c r="U627" s="6"/>
      <c r="V627" s="6"/>
      <c r="W627" s="6"/>
      <c r="X627" s="6"/>
    </row>
    <row r="628" hidden="1">
      <c r="A628" s="6"/>
      <c r="B628" s="6"/>
      <c r="C628" s="6"/>
      <c r="D628" s="6"/>
      <c r="E628" s="6"/>
      <c r="F628" s="6"/>
      <c r="G628" s="6" t="str">
        <f>IFERROR(__xludf.DUMMYFUNCTION("""COMPUTED_VALUE"""),"")</f>
        <v/>
      </c>
      <c r="H628" s="6"/>
      <c r="I628" s="6"/>
      <c r="J628" s="6"/>
      <c r="K628" s="6"/>
      <c r="L628" s="6"/>
      <c r="M628" s="6"/>
      <c r="N628" s="6"/>
      <c r="O628" s="6"/>
      <c r="P628" s="6"/>
      <c r="Q628" s="6"/>
      <c r="R628" s="6"/>
      <c r="S628" s="6"/>
      <c r="T628" s="6"/>
      <c r="U628" s="6"/>
      <c r="V628" s="6"/>
      <c r="W628" s="6"/>
      <c r="X628" s="6"/>
    </row>
    <row r="629" hidden="1">
      <c r="A629" s="6"/>
      <c r="B629" s="6"/>
      <c r="C629" s="6"/>
      <c r="D629" s="6"/>
      <c r="E629" s="6"/>
      <c r="F629" s="6"/>
      <c r="G629" s="6" t="str">
        <f>IFERROR(__xludf.DUMMYFUNCTION("""COMPUTED_VALUE"""),"")</f>
        <v/>
      </c>
      <c r="H629" s="6"/>
      <c r="I629" s="6"/>
      <c r="J629" s="6"/>
      <c r="K629" s="6"/>
      <c r="L629" s="6"/>
      <c r="M629" s="6"/>
      <c r="N629" s="6"/>
      <c r="O629" s="6"/>
      <c r="P629" s="6"/>
      <c r="Q629" s="6"/>
      <c r="R629" s="6"/>
      <c r="S629" s="6"/>
      <c r="T629" s="6"/>
      <c r="U629" s="6"/>
      <c r="V629" s="6"/>
      <c r="W629" s="6"/>
      <c r="X629" s="6"/>
    </row>
    <row r="630" hidden="1">
      <c r="A630" s="6"/>
      <c r="B630" s="6"/>
      <c r="C630" s="6"/>
      <c r="D630" s="6"/>
      <c r="E630" s="6"/>
      <c r="F630" s="6"/>
      <c r="G630" s="6" t="str">
        <f>IFERROR(__xludf.DUMMYFUNCTION("""COMPUTED_VALUE"""),"")</f>
        <v/>
      </c>
      <c r="H630" s="6"/>
      <c r="I630" s="6"/>
      <c r="J630" s="6"/>
      <c r="K630" s="6"/>
      <c r="L630" s="6"/>
      <c r="M630" s="6"/>
      <c r="N630" s="6"/>
      <c r="O630" s="6"/>
      <c r="P630" s="6"/>
      <c r="Q630" s="6"/>
      <c r="R630" s="6"/>
      <c r="S630" s="6"/>
      <c r="T630" s="6"/>
      <c r="U630" s="6"/>
      <c r="V630" s="6"/>
      <c r="W630" s="6"/>
      <c r="X630" s="6"/>
    </row>
    <row r="631" hidden="1">
      <c r="A631" s="6"/>
      <c r="B631" s="6"/>
      <c r="C631" s="6"/>
      <c r="D631" s="6"/>
      <c r="E631" s="6"/>
      <c r="F631" s="6"/>
      <c r="G631" s="6" t="str">
        <f>IFERROR(__xludf.DUMMYFUNCTION("""COMPUTED_VALUE"""),"")</f>
        <v/>
      </c>
      <c r="H631" s="6"/>
      <c r="I631" s="6"/>
      <c r="J631" s="6"/>
      <c r="K631" s="6"/>
      <c r="L631" s="6"/>
      <c r="M631" s="6"/>
      <c r="N631" s="6"/>
      <c r="O631" s="6"/>
      <c r="P631" s="6"/>
      <c r="Q631" s="6"/>
      <c r="R631" s="6"/>
      <c r="S631" s="6"/>
      <c r="T631" s="6"/>
      <c r="U631" s="6"/>
      <c r="V631" s="6"/>
      <c r="W631" s="6"/>
      <c r="X631" s="6"/>
    </row>
    <row r="632" hidden="1">
      <c r="A632" s="6"/>
      <c r="B632" s="6"/>
      <c r="C632" s="6"/>
      <c r="D632" s="6"/>
      <c r="E632" s="6"/>
      <c r="F632" s="6"/>
      <c r="G632" s="6" t="str">
        <f>IFERROR(__xludf.DUMMYFUNCTION("""COMPUTED_VALUE"""),"")</f>
        <v/>
      </c>
      <c r="H632" s="6"/>
      <c r="I632" s="6"/>
      <c r="J632" s="6"/>
      <c r="K632" s="6"/>
      <c r="L632" s="6"/>
      <c r="M632" s="6"/>
      <c r="N632" s="6"/>
      <c r="O632" s="6"/>
      <c r="P632" s="6"/>
      <c r="Q632" s="6"/>
      <c r="R632" s="6"/>
      <c r="S632" s="6"/>
      <c r="T632" s="6"/>
      <c r="U632" s="6"/>
      <c r="V632" s="6"/>
      <c r="W632" s="6"/>
      <c r="X632" s="6"/>
    </row>
    <row r="633" hidden="1">
      <c r="A633" s="6"/>
      <c r="B633" s="6"/>
      <c r="C633" s="6"/>
      <c r="D633" s="6"/>
      <c r="E633" s="6"/>
      <c r="F633" s="6"/>
      <c r="G633" s="6" t="str">
        <f>IFERROR(__xludf.DUMMYFUNCTION("""COMPUTED_VALUE"""),"")</f>
        <v/>
      </c>
      <c r="H633" s="6"/>
      <c r="I633" s="6"/>
      <c r="J633" s="6"/>
      <c r="K633" s="6"/>
      <c r="L633" s="6"/>
      <c r="M633" s="6"/>
      <c r="N633" s="6"/>
      <c r="O633" s="6"/>
      <c r="P633" s="6"/>
      <c r="Q633" s="6"/>
      <c r="R633" s="6"/>
      <c r="S633" s="6"/>
      <c r="T633" s="6"/>
      <c r="U633" s="6"/>
      <c r="V633" s="6"/>
      <c r="W633" s="6"/>
      <c r="X633" s="6"/>
    </row>
    <row r="634" hidden="1">
      <c r="A634" s="6"/>
      <c r="B634" s="6"/>
      <c r="C634" s="6"/>
      <c r="D634" s="6"/>
      <c r="E634" s="6"/>
      <c r="F634" s="6"/>
      <c r="G634" s="6" t="str">
        <f>IFERROR(__xludf.DUMMYFUNCTION("""COMPUTED_VALUE"""),"")</f>
        <v/>
      </c>
      <c r="H634" s="6"/>
      <c r="I634" s="6"/>
      <c r="J634" s="6"/>
      <c r="K634" s="6"/>
      <c r="L634" s="6"/>
      <c r="M634" s="6"/>
      <c r="N634" s="6"/>
      <c r="O634" s="6"/>
      <c r="P634" s="6"/>
      <c r="Q634" s="6"/>
      <c r="R634" s="6"/>
      <c r="S634" s="6"/>
      <c r="T634" s="6"/>
      <c r="U634" s="6"/>
      <c r="V634" s="6"/>
      <c r="W634" s="6"/>
      <c r="X634" s="6"/>
    </row>
    <row r="635" hidden="1">
      <c r="A635" s="6"/>
      <c r="B635" s="6"/>
      <c r="C635" s="6"/>
      <c r="D635" s="6"/>
      <c r="E635" s="6"/>
      <c r="F635" s="6"/>
      <c r="G635" s="6" t="str">
        <f>IFERROR(__xludf.DUMMYFUNCTION("""COMPUTED_VALUE"""),"")</f>
        <v/>
      </c>
      <c r="H635" s="6"/>
      <c r="I635" s="6"/>
      <c r="J635" s="6"/>
      <c r="K635" s="6"/>
      <c r="L635" s="6"/>
      <c r="M635" s="6"/>
      <c r="N635" s="6"/>
      <c r="O635" s="6"/>
      <c r="P635" s="6"/>
      <c r="Q635" s="6"/>
      <c r="R635" s="6"/>
      <c r="S635" s="6"/>
      <c r="T635" s="6"/>
      <c r="U635" s="6"/>
      <c r="V635" s="6"/>
      <c r="W635" s="6"/>
      <c r="X635" s="6"/>
    </row>
    <row r="636" hidden="1">
      <c r="A636" s="6"/>
      <c r="B636" s="6"/>
      <c r="C636" s="6"/>
      <c r="D636" s="6"/>
      <c r="E636" s="6"/>
      <c r="F636" s="6"/>
      <c r="G636" s="6" t="str">
        <f>IFERROR(__xludf.DUMMYFUNCTION("""COMPUTED_VALUE"""),"")</f>
        <v/>
      </c>
      <c r="H636" s="6"/>
      <c r="I636" s="6"/>
      <c r="J636" s="6"/>
      <c r="K636" s="6"/>
      <c r="L636" s="6"/>
      <c r="M636" s="6"/>
      <c r="N636" s="6"/>
      <c r="O636" s="6"/>
      <c r="P636" s="6"/>
      <c r="Q636" s="6"/>
      <c r="R636" s="6"/>
      <c r="S636" s="6"/>
      <c r="T636" s="6"/>
      <c r="U636" s="6"/>
      <c r="V636" s="6"/>
      <c r="W636" s="6"/>
      <c r="X636" s="6"/>
    </row>
    <row r="637" hidden="1">
      <c r="A637" s="6"/>
      <c r="B637" s="6"/>
      <c r="C637" s="6"/>
      <c r="D637" s="6"/>
      <c r="E637" s="6"/>
      <c r="F637" s="6"/>
      <c r="G637" s="6" t="str">
        <f>IFERROR(__xludf.DUMMYFUNCTION("""COMPUTED_VALUE"""),"")</f>
        <v/>
      </c>
      <c r="H637" s="6"/>
      <c r="I637" s="6"/>
      <c r="J637" s="6"/>
      <c r="K637" s="6"/>
      <c r="L637" s="6"/>
      <c r="M637" s="6"/>
      <c r="N637" s="6"/>
      <c r="O637" s="6"/>
      <c r="P637" s="6"/>
      <c r="Q637" s="6"/>
      <c r="R637" s="6"/>
      <c r="S637" s="6"/>
      <c r="T637" s="6"/>
      <c r="U637" s="6"/>
      <c r="V637" s="6"/>
      <c r="W637" s="6"/>
      <c r="X637" s="6"/>
    </row>
    <row r="638" hidden="1">
      <c r="A638" s="6"/>
      <c r="B638" s="6"/>
      <c r="C638" s="6"/>
      <c r="D638" s="6"/>
      <c r="E638" s="6"/>
      <c r="F638" s="6"/>
      <c r="G638" s="6" t="str">
        <f>IFERROR(__xludf.DUMMYFUNCTION("""COMPUTED_VALUE"""),"")</f>
        <v/>
      </c>
      <c r="H638" s="6"/>
      <c r="I638" s="6"/>
      <c r="J638" s="6"/>
      <c r="K638" s="6"/>
      <c r="L638" s="6"/>
      <c r="M638" s="6"/>
      <c r="N638" s="6"/>
      <c r="O638" s="6"/>
      <c r="P638" s="6"/>
      <c r="Q638" s="6"/>
      <c r="R638" s="6"/>
      <c r="S638" s="6"/>
      <c r="T638" s="6"/>
      <c r="U638" s="6"/>
      <c r="V638" s="6"/>
      <c r="W638" s="6"/>
      <c r="X638" s="6"/>
    </row>
    <row r="639" hidden="1">
      <c r="A639" s="6"/>
      <c r="B639" s="6"/>
      <c r="C639" s="6"/>
      <c r="D639" s="6"/>
      <c r="E639" s="6"/>
      <c r="F639" s="6"/>
      <c r="G639" s="6" t="str">
        <f>IFERROR(__xludf.DUMMYFUNCTION("""COMPUTED_VALUE"""),"")</f>
        <v/>
      </c>
      <c r="H639" s="6"/>
      <c r="I639" s="6"/>
      <c r="J639" s="6"/>
      <c r="K639" s="6"/>
      <c r="L639" s="6"/>
      <c r="M639" s="6"/>
      <c r="N639" s="6"/>
      <c r="O639" s="6"/>
      <c r="P639" s="6"/>
      <c r="Q639" s="6"/>
      <c r="R639" s="6"/>
      <c r="S639" s="6"/>
      <c r="T639" s="6"/>
      <c r="U639" s="6"/>
      <c r="V639" s="6"/>
      <c r="W639" s="6"/>
      <c r="X639" s="6"/>
    </row>
    <row r="640" hidden="1">
      <c r="A640" s="6"/>
      <c r="B640" s="6"/>
      <c r="C640" s="6"/>
      <c r="D640" s="6"/>
      <c r="E640" s="6"/>
      <c r="F640" s="6"/>
      <c r="G640" s="6" t="str">
        <f>IFERROR(__xludf.DUMMYFUNCTION("""COMPUTED_VALUE"""),"")</f>
        <v/>
      </c>
      <c r="H640" s="6"/>
      <c r="I640" s="6"/>
      <c r="J640" s="6"/>
      <c r="K640" s="6"/>
      <c r="L640" s="6"/>
      <c r="M640" s="6"/>
      <c r="N640" s="6"/>
      <c r="O640" s="6"/>
      <c r="P640" s="6"/>
      <c r="Q640" s="6"/>
      <c r="R640" s="6"/>
      <c r="S640" s="6"/>
      <c r="T640" s="6"/>
      <c r="U640" s="6"/>
      <c r="V640" s="6"/>
      <c r="W640" s="6"/>
      <c r="X640" s="6"/>
    </row>
    <row r="641" hidden="1">
      <c r="A641" s="6"/>
      <c r="B641" s="6"/>
      <c r="C641" s="6"/>
      <c r="D641" s="6"/>
      <c r="E641" s="6"/>
      <c r="F641" s="6"/>
      <c r="G641" s="6" t="str">
        <f>IFERROR(__xludf.DUMMYFUNCTION("""COMPUTED_VALUE"""),"")</f>
        <v/>
      </c>
      <c r="H641" s="6"/>
      <c r="I641" s="6"/>
      <c r="J641" s="6"/>
      <c r="K641" s="6"/>
      <c r="L641" s="6"/>
      <c r="M641" s="6"/>
      <c r="N641" s="6"/>
      <c r="O641" s="6"/>
      <c r="P641" s="6"/>
      <c r="Q641" s="6"/>
      <c r="R641" s="6"/>
      <c r="S641" s="6"/>
      <c r="T641" s="6"/>
      <c r="U641" s="6"/>
      <c r="V641" s="6"/>
      <c r="W641" s="6"/>
      <c r="X641" s="6"/>
    </row>
    <row r="642" hidden="1">
      <c r="A642" s="6"/>
      <c r="B642" s="6"/>
      <c r="C642" s="6"/>
      <c r="D642" s="6"/>
      <c r="E642" s="6"/>
      <c r="F642" s="6"/>
      <c r="G642" s="6" t="str">
        <f>IFERROR(__xludf.DUMMYFUNCTION("""COMPUTED_VALUE"""),"")</f>
        <v/>
      </c>
      <c r="H642" s="6"/>
      <c r="I642" s="6"/>
      <c r="J642" s="6"/>
      <c r="K642" s="6"/>
      <c r="L642" s="6"/>
      <c r="M642" s="6"/>
      <c r="N642" s="6"/>
      <c r="O642" s="6"/>
      <c r="P642" s="6"/>
      <c r="Q642" s="6"/>
      <c r="R642" s="6"/>
      <c r="S642" s="6"/>
      <c r="T642" s="6"/>
      <c r="U642" s="6"/>
      <c r="V642" s="6"/>
      <c r="W642" s="6"/>
      <c r="X642" s="6"/>
    </row>
    <row r="643" hidden="1">
      <c r="A643" s="6"/>
      <c r="B643" s="6"/>
      <c r="C643" s="6"/>
      <c r="D643" s="6"/>
      <c r="E643" s="6"/>
      <c r="F643" s="6"/>
      <c r="G643" s="6" t="str">
        <f>IFERROR(__xludf.DUMMYFUNCTION("""COMPUTED_VALUE"""),"")</f>
        <v/>
      </c>
      <c r="H643" s="6"/>
      <c r="I643" s="6"/>
      <c r="J643" s="6"/>
      <c r="K643" s="6"/>
      <c r="L643" s="6"/>
      <c r="M643" s="6"/>
      <c r="N643" s="6"/>
      <c r="O643" s="6"/>
      <c r="P643" s="6"/>
      <c r="Q643" s="6"/>
      <c r="R643" s="6"/>
      <c r="S643" s="6"/>
      <c r="T643" s="6"/>
      <c r="U643" s="6"/>
      <c r="V643" s="6"/>
      <c r="W643" s="6"/>
      <c r="X643" s="6"/>
    </row>
    <row r="644" hidden="1">
      <c r="A644" s="6"/>
      <c r="B644" s="6"/>
      <c r="C644" s="6"/>
      <c r="D644" s="6"/>
      <c r="E644" s="6"/>
      <c r="F644" s="6"/>
      <c r="G644" s="6" t="str">
        <f>IFERROR(__xludf.DUMMYFUNCTION("""COMPUTED_VALUE"""),"")</f>
        <v/>
      </c>
      <c r="H644" s="6"/>
      <c r="I644" s="6"/>
      <c r="J644" s="6"/>
      <c r="K644" s="6"/>
      <c r="L644" s="6"/>
      <c r="M644" s="6"/>
      <c r="N644" s="6"/>
      <c r="O644" s="6"/>
      <c r="P644" s="6"/>
      <c r="Q644" s="6"/>
      <c r="R644" s="6"/>
      <c r="S644" s="6"/>
      <c r="T644" s="6"/>
      <c r="U644" s="6"/>
      <c r="V644" s="6"/>
      <c r="W644" s="6"/>
      <c r="X644" s="6"/>
    </row>
    <row r="645" hidden="1">
      <c r="A645" s="6"/>
      <c r="B645" s="6"/>
      <c r="C645" s="6"/>
      <c r="D645" s="6"/>
      <c r="E645" s="6"/>
      <c r="F645" s="6"/>
      <c r="G645" s="6" t="str">
        <f>IFERROR(__xludf.DUMMYFUNCTION("""COMPUTED_VALUE"""),"")</f>
        <v/>
      </c>
      <c r="H645" s="6"/>
      <c r="I645" s="6"/>
      <c r="J645" s="6"/>
      <c r="K645" s="6"/>
      <c r="L645" s="6"/>
      <c r="M645" s="6"/>
      <c r="N645" s="6"/>
      <c r="O645" s="6"/>
      <c r="P645" s="6"/>
      <c r="Q645" s="6"/>
      <c r="R645" s="6"/>
      <c r="S645" s="6"/>
      <c r="T645" s="6"/>
      <c r="U645" s="6"/>
      <c r="V645" s="6"/>
      <c r="W645" s="6"/>
      <c r="X645" s="6"/>
    </row>
    <row r="646" hidden="1">
      <c r="A646" s="6"/>
      <c r="B646" s="6"/>
      <c r="C646" s="6"/>
      <c r="D646" s="6"/>
      <c r="E646" s="6"/>
      <c r="F646" s="6"/>
      <c r="G646" s="6" t="str">
        <f>IFERROR(__xludf.DUMMYFUNCTION("""COMPUTED_VALUE"""),"")</f>
        <v/>
      </c>
      <c r="H646" s="6"/>
      <c r="I646" s="6"/>
      <c r="J646" s="6"/>
      <c r="K646" s="6"/>
      <c r="L646" s="6"/>
      <c r="M646" s="6"/>
      <c r="N646" s="6"/>
      <c r="O646" s="6"/>
      <c r="P646" s="6"/>
      <c r="Q646" s="6"/>
      <c r="R646" s="6"/>
      <c r="S646" s="6"/>
      <c r="T646" s="6"/>
      <c r="U646" s="6"/>
      <c r="V646" s="6"/>
      <c r="W646" s="6"/>
      <c r="X646" s="6"/>
    </row>
    <row r="647" hidden="1">
      <c r="A647" s="6"/>
      <c r="B647" s="6"/>
      <c r="C647" s="6"/>
      <c r="D647" s="6"/>
      <c r="E647" s="6"/>
      <c r="F647" s="6"/>
      <c r="G647" s="6" t="str">
        <f>IFERROR(__xludf.DUMMYFUNCTION("""COMPUTED_VALUE"""),"")</f>
        <v/>
      </c>
      <c r="H647" s="6"/>
      <c r="I647" s="6"/>
      <c r="J647" s="6"/>
      <c r="K647" s="6"/>
      <c r="L647" s="6"/>
      <c r="M647" s="6"/>
      <c r="N647" s="6"/>
      <c r="O647" s="6"/>
      <c r="P647" s="6"/>
      <c r="Q647" s="6"/>
      <c r="R647" s="6"/>
      <c r="S647" s="6"/>
      <c r="T647" s="6"/>
      <c r="U647" s="6"/>
      <c r="V647" s="6"/>
      <c r="W647" s="6"/>
      <c r="X647" s="6"/>
    </row>
    <row r="648" hidden="1">
      <c r="A648" s="6"/>
      <c r="B648" s="6"/>
      <c r="C648" s="6"/>
      <c r="D648" s="6"/>
      <c r="E648" s="6"/>
      <c r="F648" s="6"/>
      <c r="G648" s="6" t="str">
        <f>IFERROR(__xludf.DUMMYFUNCTION("""COMPUTED_VALUE"""),"")</f>
        <v/>
      </c>
      <c r="H648" s="6"/>
      <c r="I648" s="6"/>
      <c r="J648" s="6"/>
      <c r="K648" s="6"/>
      <c r="L648" s="6"/>
      <c r="M648" s="6"/>
      <c r="N648" s="6"/>
      <c r="O648" s="6"/>
      <c r="P648" s="6"/>
      <c r="Q648" s="6"/>
      <c r="R648" s="6"/>
      <c r="S648" s="6"/>
      <c r="T648" s="6"/>
      <c r="U648" s="6"/>
      <c r="V648" s="6"/>
      <c r="W648" s="6"/>
      <c r="X648" s="6"/>
    </row>
    <row r="649" hidden="1">
      <c r="A649" s="6"/>
      <c r="B649" s="6"/>
      <c r="C649" s="6"/>
      <c r="D649" s="6"/>
      <c r="E649" s="6"/>
      <c r="F649" s="6"/>
      <c r="G649" s="6" t="str">
        <f>IFERROR(__xludf.DUMMYFUNCTION("""COMPUTED_VALUE"""),"")</f>
        <v/>
      </c>
      <c r="H649" s="6"/>
      <c r="I649" s="6"/>
      <c r="J649" s="6"/>
      <c r="K649" s="6"/>
      <c r="L649" s="6"/>
      <c r="M649" s="6"/>
      <c r="N649" s="6"/>
      <c r="O649" s="6"/>
      <c r="P649" s="6"/>
      <c r="Q649" s="6"/>
      <c r="R649" s="6"/>
      <c r="S649" s="6"/>
      <c r="T649" s="6"/>
      <c r="U649" s="6"/>
      <c r="V649" s="6"/>
      <c r="W649" s="6"/>
      <c r="X649" s="6"/>
    </row>
    <row r="650" hidden="1">
      <c r="A650" s="6"/>
      <c r="B650" s="6"/>
      <c r="C650" s="6"/>
      <c r="D650" s="6"/>
      <c r="E650" s="6"/>
      <c r="F650" s="6"/>
      <c r="G650" s="6" t="str">
        <f>IFERROR(__xludf.DUMMYFUNCTION("""COMPUTED_VALUE"""),"")</f>
        <v/>
      </c>
      <c r="H650" s="6"/>
      <c r="I650" s="6"/>
      <c r="J650" s="6"/>
      <c r="K650" s="6"/>
      <c r="L650" s="6"/>
      <c r="M650" s="6"/>
      <c r="N650" s="6"/>
      <c r="O650" s="6"/>
      <c r="P650" s="6"/>
      <c r="Q650" s="6"/>
      <c r="R650" s="6"/>
      <c r="S650" s="6"/>
      <c r="T650" s="6"/>
      <c r="U650" s="6"/>
      <c r="V650" s="6"/>
      <c r="W650" s="6"/>
      <c r="X650" s="6"/>
    </row>
    <row r="651" hidden="1">
      <c r="A651" s="6"/>
      <c r="B651" s="6"/>
      <c r="C651" s="6"/>
      <c r="D651" s="6"/>
      <c r="E651" s="6"/>
      <c r="F651" s="6"/>
      <c r="G651" s="6" t="str">
        <f>IFERROR(__xludf.DUMMYFUNCTION("""COMPUTED_VALUE"""),"")</f>
        <v/>
      </c>
      <c r="H651" s="6"/>
      <c r="I651" s="6"/>
      <c r="J651" s="6"/>
      <c r="K651" s="6"/>
      <c r="L651" s="6"/>
      <c r="M651" s="6"/>
      <c r="N651" s="6"/>
      <c r="O651" s="6"/>
      <c r="P651" s="6"/>
      <c r="Q651" s="6"/>
      <c r="R651" s="6"/>
      <c r="S651" s="6"/>
      <c r="T651" s="6"/>
      <c r="U651" s="6"/>
      <c r="V651" s="6"/>
      <c r="W651" s="6"/>
      <c r="X651" s="6"/>
    </row>
    <row r="652" hidden="1">
      <c r="A652" s="6"/>
      <c r="B652" s="6"/>
      <c r="C652" s="6"/>
      <c r="D652" s="6"/>
      <c r="E652" s="6"/>
      <c r="F652" s="6"/>
      <c r="G652" s="6" t="str">
        <f>IFERROR(__xludf.DUMMYFUNCTION("""COMPUTED_VALUE"""),"")</f>
        <v/>
      </c>
      <c r="H652" s="6"/>
      <c r="I652" s="6"/>
      <c r="J652" s="6"/>
      <c r="K652" s="6"/>
      <c r="L652" s="6"/>
      <c r="M652" s="6"/>
      <c r="N652" s="6"/>
      <c r="O652" s="6"/>
      <c r="P652" s="6"/>
      <c r="Q652" s="6"/>
      <c r="R652" s="6"/>
      <c r="S652" s="6"/>
      <c r="T652" s="6"/>
      <c r="U652" s="6"/>
      <c r="V652" s="6"/>
      <c r="W652" s="6"/>
      <c r="X652" s="6"/>
    </row>
    <row r="653" hidden="1">
      <c r="A653" s="6"/>
      <c r="B653" s="6"/>
      <c r="C653" s="6"/>
      <c r="D653" s="6"/>
      <c r="E653" s="6"/>
      <c r="F653" s="6"/>
      <c r="G653" s="6" t="str">
        <f>IFERROR(__xludf.DUMMYFUNCTION("""COMPUTED_VALUE"""),"")</f>
        <v/>
      </c>
      <c r="H653" s="6"/>
      <c r="I653" s="6"/>
      <c r="J653" s="6"/>
      <c r="K653" s="6"/>
      <c r="L653" s="6"/>
      <c r="M653" s="6"/>
      <c r="N653" s="6"/>
      <c r="O653" s="6"/>
      <c r="P653" s="6"/>
      <c r="Q653" s="6"/>
      <c r="R653" s="6"/>
      <c r="S653" s="6"/>
      <c r="T653" s="6"/>
      <c r="U653" s="6"/>
      <c r="V653" s="6"/>
      <c r="W653" s="6"/>
      <c r="X653" s="6"/>
    </row>
    <row r="654" hidden="1">
      <c r="A654" s="6"/>
      <c r="B654" s="6"/>
      <c r="C654" s="6"/>
      <c r="D654" s="6"/>
      <c r="E654" s="6"/>
      <c r="F654" s="6"/>
      <c r="G654" s="6" t="str">
        <f>IFERROR(__xludf.DUMMYFUNCTION("""COMPUTED_VALUE"""),"")</f>
        <v/>
      </c>
      <c r="H654" s="6"/>
      <c r="I654" s="6"/>
      <c r="J654" s="6"/>
      <c r="K654" s="6"/>
      <c r="L654" s="6"/>
      <c r="M654" s="6"/>
      <c r="N654" s="6"/>
      <c r="O654" s="6"/>
      <c r="P654" s="6"/>
      <c r="Q654" s="6"/>
      <c r="R654" s="6"/>
      <c r="S654" s="6"/>
      <c r="T654" s="6"/>
      <c r="U654" s="6"/>
      <c r="V654" s="6"/>
      <c r="W654" s="6"/>
      <c r="X654" s="6"/>
    </row>
    <row r="655" hidden="1">
      <c r="A655" s="6"/>
      <c r="B655" s="6"/>
      <c r="C655" s="6"/>
      <c r="D655" s="6"/>
      <c r="E655" s="6"/>
      <c r="F655" s="6"/>
      <c r="G655" s="6" t="str">
        <f>IFERROR(__xludf.DUMMYFUNCTION("""COMPUTED_VALUE"""),"")</f>
        <v/>
      </c>
      <c r="H655" s="6"/>
      <c r="I655" s="6"/>
      <c r="J655" s="6"/>
      <c r="K655" s="6"/>
      <c r="L655" s="6"/>
      <c r="M655" s="6"/>
      <c r="N655" s="6"/>
      <c r="O655" s="6"/>
      <c r="P655" s="6"/>
      <c r="Q655" s="6"/>
      <c r="R655" s="6"/>
      <c r="S655" s="6"/>
      <c r="T655" s="6"/>
      <c r="U655" s="6"/>
      <c r="V655" s="6"/>
      <c r="W655" s="6"/>
      <c r="X655" s="6"/>
    </row>
    <row r="656" hidden="1">
      <c r="A656" s="6"/>
      <c r="B656" s="6"/>
      <c r="C656" s="6"/>
      <c r="D656" s="6"/>
      <c r="E656" s="6"/>
      <c r="F656" s="6"/>
      <c r="G656" s="6" t="str">
        <f>IFERROR(__xludf.DUMMYFUNCTION("""COMPUTED_VALUE"""),"")</f>
        <v/>
      </c>
      <c r="H656" s="6"/>
      <c r="I656" s="6"/>
      <c r="J656" s="6"/>
      <c r="K656" s="6"/>
      <c r="L656" s="6"/>
      <c r="M656" s="6"/>
      <c r="N656" s="6"/>
      <c r="O656" s="6"/>
      <c r="P656" s="6"/>
      <c r="Q656" s="6"/>
      <c r="R656" s="6"/>
      <c r="S656" s="6"/>
      <c r="T656" s="6"/>
      <c r="U656" s="6"/>
      <c r="V656" s="6"/>
      <c r="W656" s="6"/>
      <c r="X656" s="6"/>
    </row>
    <row r="657" hidden="1">
      <c r="A657" s="6"/>
      <c r="B657" s="6"/>
      <c r="C657" s="6"/>
      <c r="D657" s="6"/>
      <c r="E657" s="6"/>
      <c r="F657" s="6"/>
      <c r="G657" s="6" t="str">
        <f>IFERROR(__xludf.DUMMYFUNCTION("""COMPUTED_VALUE"""),"")</f>
        <v/>
      </c>
      <c r="H657" s="6"/>
      <c r="I657" s="6"/>
      <c r="J657" s="6"/>
      <c r="K657" s="6"/>
      <c r="L657" s="6"/>
      <c r="M657" s="6"/>
      <c r="N657" s="6"/>
      <c r="O657" s="6"/>
      <c r="P657" s="6"/>
      <c r="Q657" s="6"/>
      <c r="R657" s="6"/>
      <c r="S657" s="6"/>
      <c r="T657" s="6"/>
      <c r="U657" s="6"/>
      <c r="V657" s="6"/>
      <c r="W657" s="6"/>
      <c r="X657" s="6"/>
    </row>
    <row r="658" hidden="1">
      <c r="A658" s="6"/>
      <c r="B658" s="6"/>
      <c r="C658" s="6"/>
      <c r="D658" s="6"/>
      <c r="E658" s="6"/>
      <c r="F658" s="6"/>
      <c r="G658" s="6" t="str">
        <f>IFERROR(__xludf.DUMMYFUNCTION("""COMPUTED_VALUE"""),"")</f>
        <v/>
      </c>
      <c r="H658" s="6"/>
      <c r="I658" s="6"/>
      <c r="J658" s="6"/>
      <c r="K658" s="6"/>
      <c r="L658" s="6"/>
      <c r="M658" s="6"/>
      <c r="N658" s="6"/>
      <c r="O658" s="6"/>
      <c r="P658" s="6"/>
      <c r="Q658" s="6"/>
      <c r="R658" s="6"/>
      <c r="S658" s="6"/>
      <c r="T658" s="6"/>
      <c r="U658" s="6"/>
      <c r="V658" s="6"/>
      <c r="W658" s="6"/>
      <c r="X658" s="6"/>
    </row>
    <row r="659" hidden="1">
      <c r="A659" s="6"/>
      <c r="B659" s="6"/>
      <c r="C659" s="6"/>
      <c r="D659" s="6"/>
      <c r="E659" s="6"/>
      <c r="F659" s="6"/>
      <c r="G659" s="6" t="str">
        <f>IFERROR(__xludf.DUMMYFUNCTION("""COMPUTED_VALUE"""),"")</f>
        <v/>
      </c>
      <c r="H659" s="6"/>
      <c r="I659" s="6"/>
      <c r="J659" s="6"/>
      <c r="K659" s="6"/>
      <c r="L659" s="6"/>
      <c r="M659" s="6"/>
      <c r="N659" s="6"/>
      <c r="O659" s="6"/>
      <c r="P659" s="6"/>
      <c r="Q659" s="6"/>
      <c r="R659" s="6"/>
      <c r="S659" s="6"/>
      <c r="T659" s="6"/>
      <c r="U659" s="6"/>
      <c r="V659" s="6"/>
      <c r="W659" s="6"/>
      <c r="X659" s="6"/>
    </row>
    <row r="660" hidden="1">
      <c r="A660" s="6"/>
      <c r="B660" s="6"/>
      <c r="C660" s="6"/>
      <c r="D660" s="6"/>
      <c r="E660" s="6"/>
      <c r="F660" s="6"/>
      <c r="G660" s="6" t="str">
        <f>IFERROR(__xludf.DUMMYFUNCTION("""COMPUTED_VALUE"""),"")</f>
        <v/>
      </c>
      <c r="H660" s="6"/>
      <c r="I660" s="6"/>
      <c r="J660" s="6"/>
      <c r="K660" s="6"/>
      <c r="L660" s="6"/>
      <c r="M660" s="6"/>
      <c r="N660" s="6"/>
      <c r="O660" s="6"/>
      <c r="P660" s="6"/>
      <c r="Q660" s="6"/>
      <c r="R660" s="6"/>
      <c r="S660" s="6"/>
      <c r="T660" s="6"/>
      <c r="U660" s="6"/>
      <c r="V660" s="6"/>
      <c r="W660" s="6"/>
      <c r="X660" s="6"/>
    </row>
    <row r="661" hidden="1">
      <c r="A661" s="6"/>
      <c r="B661" s="6"/>
      <c r="C661" s="6"/>
      <c r="D661" s="6"/>
      <c r="E661" s="6"/>
      <c r="F661" s="6"/>
      <c r="G661" s="6" t="str">
        <f>IFERROR(__xludf.DUMMYFUNCTION("""COMPUTED_VALUE"""),"")</f>
        <v/>
      </c>
      <c r="H661" s="6"/>
      <c r="I661" s="6"/>
      <c r="J661" s="6"/>
      <c r="K661" s="6"/>
      <c r="L661" s="6"/>
      <c r="M661" s="6"/>
      <c r="N661" s="6"/>
      <c r="O661" s="6"/>
      <c r="P661" s="6"/>
      <c r="Q661" s="6"/>
      <c r="R661" s="6"/>
      <c r="S661" s="6"/>
      <c r="T661" s="6"/>
      <c r="U661" s="6"/>
      <c r="V661" s="6"/>
      <c r="W661" s="6"/>
      <c r="X661" s="6"/>
    </row>
    <row r="662" hidden="1">
      <c r="A662" s="6"/>
      <c r="B662" s="6"/>
      <c r="C662" s="6"/>
      <c r="D662" s="6"/>
      <c r="E662" s="6"/>
      <c r="F662" s="6"/>
      <c r="G662" s="6" t="str">
        <f>IFERROR(__xludf.DUMMYFUNCTION("""COMPUTED_VALUE"""),"")</f>
        <v/>
      </c>
      <c r="H662" s="6"/>
      <c r="I662" s="6"/>
      <c r="J662" s="6"/>
      <c r="K662" s="6"/>
      <c r="L662" s="6"/>
      <c r="M662" s="6"/>
      <c r="N662" s="6"/>
      <c r="O662" s="6"/>
      <c r="P662" s="6"/>
      <c r="Q662" s="6"/>
      <c r="R662" s="6"/>
      <c r="S662" s="6"/>
      <c r="T662" s="6"/>
      <c r="U662" s="6"/>
      <c r="V662" s="6"/>
      <c r="W662" s="6"/>
      <c r="X662" s="6"/>
    </row>
    <row r="663" hidden="1">
      <c r="A663" s="6"/>
      <c r="B663" s="6"/>
      <c r="C663" s="6"/>
      <c r="D663" s="6"/>
      <c r="E663" s="6"/>
      <c r="F663" s="6"/>
      <c r="G663" s="6" t="str">
        <f>IFERROR(__xludf.DUMMYFUNCTION("""COMPUTED_VALUE"""),"")</f>
        <v/>
      </c>
      <c r="H663" s="6"/>
      <c r="I663" s="6"/>
      <c r="J663" s="6"/>
      <c r="K663" s="6"/>
      <c r="L663" s="6"/>
      <c r="M663" s="6"/>
      <c r="N663" s="6"/>
      <c r="O663" s="6"/>
      <c r="P663" s="6"/>
      <c r="Q663" s="6"/>
      <c r="R663" s="6"/>
      <c r="S663" s="6"/>
      <c r="T663" s="6"/>
      <c r="U663" s="6"/>
      <c r="V663" s="6"/>
      <c r="W663" s="6"/>
      <c r="X663" s="6"/>
    </row>
    <row r="664" hidden="1">
      <c r="A664" s="6"/>
      <c r="B664" s="6"/>
      <c r="C664" s="6"/>
      <c r="D664" s="6"/>
      <c r="E664" s="6"/>
      <c r="F664" s="6"/>
      <c r="G664" s="6" t="str">
        <f>IFERROR(__xludf.DUMMYFUNCTION("""COMPUTED_VALUE"""),"")</f>
        <v/>
      </c>
      <c r="H664" s="6"/>
      <c r="I664" s="6"/>
      <c r="J664" s="6"/>
      <c r="K664" s="6"/>
      <c r="L664" s="6"/>
      <c r="M664" s="6"/>
      <c r="N664" s="6"/>
      <c r="O664" s="6"/>
      <c r="P664" s="6"/>
      <c r="Q664" s="6"/>
      <c r="R664" s="6"/>
      <c r="S664" s="6"/>
      <c r="T664" s="6"/>
      <c r="U664" s="6"/>
      <c r="V664" s="6"/>
      <c r="W664" s="6"/>
      <c r="X664" s="6"/>
    </row>
    <row r="665" hidden="1">
      <c r="A665" s="6"/>
      <c r="B665" s="6"/>
      <c r="C665" s="6"/>
      <c r="D665" s="6"/>
      <c r="E665" s="6"/>
      <c r="F665" s="6"/>
      <c r="G665" s="6" t="str">
        <f>IFERROR(__xludf.DUMMYFUNCTION("""COMPUTED_VALUE"""),"")</f>
        <v/>
      </c>
      <c r="H665" s="6"/>
      <c r="I665" s="6"/>
      <c r="J665" s="6"/>
      <c r="K665" s="6"/>
      <c r="L665" s="6"/>
      <c r="M665" s="6"/>
      <c r="N665" s="6"/>
      <c r="O665" s="6"/>
      <c r="P665" s="6"/>
      <c r="Q665" s="6"/>
      <c r="R665" s="6"/>
      <c r="S665" s="6"/>
      <c r="T665" s="6"/>
      <c r="U665" s="6"/>
      <c r="V665" s="6"/>
      <c r="W665" s="6"/>
      <c r="X665" s="6"/>
    </row>
    <row r="666" hidden="1">
      <c r="A666" s="6"/>
      <c r="B666" s="6"/>
      <c r="C666" s="6"/>
      <c r="D666" s="6"/>
      <c r="E666" s="6"/>
      <c r="F666" s="6"/>
      <c r="G666" s="6" t="str">
        <f>IFERROR(__xludf.DUMMYFUNCTION("""COMPUTED_VALUE"""),"")</f>
        <v/>
      </c>
      <c r="H666" s="6"/>
      <c r="I666" s="6"/>
      <c r="J666" s="6"/>
      <c r="K666" s="6"/>
      <c r="L666" s="6"/>
      <c r="M666" s="6"/>
      <c r="N666" s="6"/>
      <c r="O666" s="6"/>
      <c r="P666" s="6"/>
      <c r="Q666" s="6"/>
      <c r="R666" s="6"/>
      <c r="S666" s="6"/>
      <c r="T666" s="6"/>
      <c r="U666" s="6"/>
      <c r="V666" s="6"/>
      <c r="W666" s="6"/>
      <c r="X666" s="6"/>
    </row>
    <row r="667" hidden="1">
      <c r="A667" s="6"/>
      <c r="B667" s="6"/>
      <c r="C667" s="6"/>
      <c r="D667" s="6"/>
      <c r="E667" s="6"/>
      <c r="F667" s="6"/>
      <c r="G667" s="6" t="str">
        <f>IFERROR(__xludf.DUMMYFUNCTION("""COMPUTED_VALUE"""),"")</f>
        <v/>
      </c>
      <c r="H667" s="6"/>
      <c r="I667" s="6"/>
      <c r="J667" s="6"/>
      <c r="K667" s="6"/>
      <c r="L667" s="6"/>
      <c r="M667" s="6"/>
      <c r="N667" s="6"/>
      <c r="O667" s="6"/>
      <c r="P667" s="6"/>
      <c r="Q667" s="6"/>
      <c r="R667" s="6"/>
      <c r="S667" s="6"/>
      <c r="T667" s="6"/>
      <c r="U667" s="6"/>
      <c r="V667" s="6"/>
      <c r="W667" s="6"/>
      <c r="X667" s="6"/>
    </row>
    <row r="668" hidden="1">
      <c r="A668" s="6"/>
      <c r="B668" s="6"/>
      <c r="C668" s="6"/>
      <c r="D668" s="6"/>
      <c r="E668" s="6"/>
      <c r="F668" s="6"/>
      <c r="G668" s="6" t="str">
        <f>IFERROR(__xludf.DUMMYFUNCTION("""COMPUTED_VALUE"""),"")</f>
        <v/>
      </c>
      <c r="H668" s="6"/>
      <c r="I668" s="6"/>
      <c r="J668" s="6"/>
      <c r="K668" s="6"/>
      <c r="L668" s="6"/>
      <c r="M668" s="6"/>
      <c r="N668" s="6"/>
      <c r="O668" s="6"/>
      <c r="P668" s="6"/>
      <c r="Q668" s="6"/>
      <c r="R668" s="6"/>
      <c r="S668" s="6"/>
      <c r="T668" s="6"/>
      <c r="U668" s="6"/>
      <c r="V668" s="6"/>
      <c r="W668" s="6"/>
      <c r="X668" s="6"/>
    </row>
    <row r="669" hidden="1">
      <c r="A669" s="6"/>
      <c r="B669" s="6"/>
      <c r="C669" s="6"/>
      <c r="D669" s="6"/>
      <c r="E669" s="6"/>
      <c r="F669" s="6"/>
      <c r="G669" s="6" t="str">
        <f>IFERROR(__xludf.DUMMYFUNCTION("""COMPUTED_VALUE"""),"")</f>
        <v/>
      </c>
      <c r="H669" s="6"/>
      <c r="I669" s="6"/>
      <c r="J669" s="6"/>
      <c r="K669" s="6"/>
      <c r="L669" s="6"/>
      <c r="M669" s="6"/>
      <c r="N669" s="6"/>
      <c r="O669" s="6"/>
      <c r="P669" s="6"/>
      <c r="Q669" s="6"/>
      <c r="R669" s="6"/>
      <c r="S669" s="6"/>
      <c r="T669" s="6"/>
      <c r="U669" s="6"/>
      <c r="V669" s="6"/>
      <c r="W669" s="6"/>
      <c r="X669" s="6"/>
    </row>
    <row r="670" hidden="1">
      <c r="A670" s="6"/>
      <c r="B670" s="6"/>
      <c r="C670" s="6"/>
      <c r="D670" s="6"/>
      <c r="E670" s="6"/>
      <c r="F670" s="6"/>
      <c r="G670" s="6" t="str">
        <f>IFERROR(__xludf.DUMMYFUNCTION("""COMPUTED_VALUE"""),"")</f>
        <v/>
      </c>
      <c r="H670" s="6"/>
      <c r="I670" s="6"/>
      <c r="J670" s="6"/>
      <c r="K670" s="6"/>
      <c r="L670" s="6"/>
      <c r="M670" s="6"/>
      <c r="N670" s="6"/>
      <c r="O670" s="6"/>
      <c r="P670" s="6"/>
      <c r="Q670" s="6"/>
      <c r="R670" s="6"/>
      <c r="S670" s="6"/>
      <c r="T670" s="6"/>
      <c r="U670" s="6"/>
      <c r="V670" s="6"/>
      <c r="W670" s="6"/>
      <c r="X670" s="6"/>
    </row>
    <row r="671" hidden="1">
      <c r="A671" s="6"/>
      <c r="B671" s="6"/>
      <c r="C671" s="6"/>
      <c r="D671" s="6"/>
      <c r="E671" s="6"/>
      <c r="F671" s="6"/>
      <c r="G671" s="6" t="str">
        <f>IFERROR(__xludf.DUMMYFUNCTION("""COMPUTED_VALUE"""),"")</f>
        <v/>
      </c>
      <c r="H671" s="6"/>
      <c r="I671" s="6"/>
      <c r="J671" s="6"/>
      <c r="K671" s="6"/>
      <c r="L671" s="6"/>
      <c r="M671" s="6"/>
      <c r="N671" s="6"/>
      <c r="O671" s="6"/>
      <c r="P671" s="6"/>
      <c r="Q671" s="6"/>
      <c r="R671" s="6"/>
      <c r="S671" s="6"/>
      <c r="T671" s="6"/>
      <c r="U671" s="6"/>
      <c r="V671" s="6"/>
      <c r="W671" s="6"/>
      <c r="X671" s="6"/>
    </row>
    <row r="672" hidden="1">
      <c r="A672" s="6"/>
      <c r="B672" s="6"/>
      <c r="C672" s="6"/>
      <c r="D672" s="6"/>
      <c r="E672" s="6"/>
      <c r="F672" s="6"/>
      <c r="G672" s="6" t="str">
        <f>IFERROR(__xludf.DUMMYFUNCTION("""COMPUTED_VALUE"""),"")</f>
        <v/>
      </c>
      <c r="H672" s="6"/>
      <c r="I672" s="6"/>
      <c r="J672" s="6"/>
      <c r="K672" s="6"/>
      <c r="L672" s="6"/>
      <c r="M672" s="6"/>
      <c r="N672" s="6"/>
      <c r="O672" s="6"/>
      <c r="P672" s="6"/>
      <c r="Q672" s="6"/>
      <c r="R672" s="6"/>
      <c r="S672" s="6"/>
      <c r="T672" s="6"/>
      <c r="U672" s="6"/>
      <c r="V672" s="6"/>
      <c r="W672" s="6"/>
      <c r="X672" s="6"/>
    </row>
    <row r="673" hidden="1">
      <c r="A673" s="6"/>
      <c r="B673" s="6"/>
      <c r="C673" s="6"/>
      <c r="D673" s="6"/>
      <c r="E673" s="6"/>
      <c r="F673" s="6"/>
      <c r="G673" s="6" t="str">
        <f>IFERROR(__xludf.DUMMYFUNCTION("""COMPUTED_VALUE"""),"")</f>
        <v/>
      </c>
      <c r="H673" s="6"/>
      <c r="I673" s="6"/>
      <c r="J673" s="6"/>
      <c r="K673" s="6"/>
      <c r="L673" s="6"/>
      <c r="M673" s="6"/>
      <c r="N673" s="6"/>
      <c r="O673" s="6"/>
      <c r="P673" s="6"/>
      <c r="Q673" s="6"/>
      <c r="R673" s="6"/>
      <c r="S673" s="6"/>
      <c r="T673" s="6"/>
      <c r="U673" s="6"/>
      <c r="V673" s="6"/>
      <c r="W673" s="6"/>
      <c r="X673" s="6"/>
    </row>
    <row r="674" hidden="1">
      <c r="A674" s="6"/>
      <c r="B674" s="6"/>
      <c r="C674" s="6"/>
      <c r="D674" s="6"/>
      <c r="E674" s="6"/>
      <c r="F674" s="6"/>
      <c r="G674" s="6" t="str">
        <f>IFERROR(__xludf.DUMMYFUNCTION("""COMPUTED_VALUE"""),"")</f>
        <v/>
      </c>
      <c r="H674" s="6"/>
      <c r="I674" s="6"/>
      <c r="J674" s="6"/>
      <c r="K674" s="6"/>
      <c r="L674" s="6"/>
      <c r="M674" s="6"/>
      <c r="N674" s="6"/>
      <c r="O674" s="6"/>
      <c r="P674" s="6"/>
      <c r="Q674" s="6"/>
      <c r="R674" s="6"/>
      <c r="S674" s="6"/>
      <c r="T674" s="6"/>
      <c r="U674" s="6"/>
      <c r="V674" s="6"/>
      <c r="W674" s="6"/>
      <c r="X674" s="6"/>
    </row>
    <row r="675" hidden="1">
      <c r="A675" s="6"/>
      <c r="B675" s="6"/>
      <c r="C675" s="6"/>
      <c r="D675" s="6"/>
      <c r="E675" s="6"/>
      <c r="F675" s="6"/>
      <c r="G675" s="6" t="str">
        <f>IFERROR(__xludf.DUMMYFUNCTION("""COMPUTED_VALUE"""),"")</f>
        <v/>
      </c>
      <c r="H675" s="6"/>
      <c r="I675" s="6"/>
      <c r="J675" s="6"/>
      <c r="K675" s="6"/>
      <c r="L675" s="6"/>
      <c r="M675" s="6"/>
      <c r="N675" s="6"/>
      <c r="O675" s="6"/>
      <c r="P675" s="6"/>
      <c r="Q675" s="6"/>
      <c r="R675" s="6"/>
      <c r="S675" s="6"/>
      <c r="T675" s="6"/>
      <c r="U675" s="6"/>
      <c r="V675" s="6"/>
      <c r="W675" s="6"/>
      <c r="X675" s="6"/>
    </row>
    <row r="676" hidden="1">
      <c r="A676" s="6"/>
      <c r="B676" s="6"/>
      <c r="C676" s="6"/>
      <c r="D676" s="6"/>
      <c r="E676" s="6"/>
      <c r="F676" s="6"/>
      <c r="G676" s="6" t="str">
        <f>IFERROR(__xludf.DUMMYFUNCTION("""COMPUTED_VALUE"""),"")</f>
        <v/>
      </c>
      <c r="H676" s="6"/>
      <c r="I676" s="6"/>
      <c r="J676" s="6"/>
      <c r="K676" s="6"/>
      <c r="L676" s="6"/>
      <c r="M676" s="6"/>
      <c r="N676" s="6"/>
      <c r="O676" s="6"/>
      <c r="P676" s="6"/>
      <c r="Q676" s="6"/>
      <c r="R676" s="6"/>
      <c r="S676" s="6"/>
      <c r="T676" s="6"/>
      <c r="U676" s="6"/>
      <c r="V676" s="6"/>
      <c r="W676" s="6"/>
      <c r="X676" s="6"/>
    </row>
    <row r="677" hidden="1">
      <c r="A677" s="6"/>
      <c r="B677" s="6"/>
      <c r="C677" s="6"/>
      <c r="D677" s="6"/>
      <c r="E677" s="6"/>
      <c r="F677" s="6"/>
      <c r="G677" s="6" t="str">
        <f>IFERROR(__xludf.DUMMYFUNCTION("""COMPUTED_VALUE"""),"")</f>
        <v/>
      </c>
      <c r="H677" s="6"/>
      <c r="I677" s="6"/>
      <c r="J677" s="6"/>
      <c r="K677" s="6"/>
      <c r="L677" s="6"/>
      <c r="M677" s="6"/>
      <c r="N677" s="6"/>
      <c r="O677" s="6"/>
      <c r="P677" s="6"/>
      <c r="Q677" s="6"/>
      <c r="R677" s="6"/>
      <c r="S677" s="6"/>
      <c r="T677" s="6"/>
      <c r="U677" s="6"/>
      <c r="V677" s="6"/>
      <c r="W677" s="6"/>
      <c r="X677" s="6"/>
    </row>
    <row r="678" hidden="1">
      <c r="A678" s="6"/>
      <c r="B678" s="6"/>
      <c r="C678" s="6"/>
      <c r="D678" s="6"/>
      <c r="E678" s="6"/>
      <c r="F678" s="6"/>
      <c r="G678" s="6" t="str">
        <f>IFERROR(__xludf.DUMMYFUNCTION("""COMPUTED_VALUE"""),"")</f>
        <v/>
      </c>
      <c r="H678" s="6"/>
      <c r="I678" s="6"/>
      <c r="J678" s="6"/>
      <c r="K678" s="6"/>
      <c r="L678" s="6"/>
      <c r="M678" s="6"/>
      <c r="N678" s="6"/>
      <c r="O678" s="6"/>
      <c r="P678" s="6"/>
      <c r="Q678" s="6"/>
      <c r="R678" s="6"/>
      <c r="S678" s="6"/>
      <c r="T678" s="6"/>
      <c r="U678" s="6"/>
      <c r="V678" s="6"/>
      <c r="W678" s="6"/>
      <c r="X678" s="6"/>
    </row>
    <row r="679" hidden="1">
      <c r="A679" s="6"/>
      <c r="B679" s="6"/>
      <c r="C679" s="6"/>
      <c r="D679" s="6"/>
      <c r="E679" s="6"/>
      <c r="F679" s="6"/>
      <c r="G679" s="6" t="str">
        <f>IFERROR(__xludf.DUMMYFUNCTION("""COMPUTED_VALUE"""),"")</f>
        <v/>
      </c>
      <c r="H679" s="6"/>
      <c r="I679" s="6"/>
      <c r="J679" s="6"/>
      <c r="K679" s="6"/>
      <c r="L679" s="6"/>
      <c r="M679" s="6"/>
      <c r="N679" s="6"/>
      <c r="O679" s="6"/>
      <c r="P679" s="6"/>
      <c r="Q679" s="6"/>
      <c r="R679" s="6"/>
      <c r="S679" s="6"/>
      <c r="T679" s="6"/>
      <c r="U679" s="6"/>
      <c r="V679" s="6"/>
      <c r="W679" s="6"/>
      <c r="X679" s="6"/>
    </row>
    <row r="680" hidden="1">
      <c r="A680" s="6"/>
      <c r="B680" s="6"/>
      <c r="C680" s="6"/>
      <c r="D680" s="6"/>
      <c r="E680" s="6"/>
      <c r="F680" s="6"/>
      <c r="G680" s="6" t="str">
        <f>IFERROR(__xludf.DUMMYFUNCTION("""COMPUTED_VALUE"""),"")</f>
        <v/>
      </c>
      <c r="H680" s="6"/>
      <c r="I680" s="6"/>
      <c r="J680" s="6"/>
      <c r="K680" s="6"/>
      <c r="L680" s="6"/>
      <c r="M680" s="6"/>
      <c r="N680" s="6"/>
      <c r="O680" s="6"/>
      <c r="P680" s="6"/>
      <c r="Q680" s="6"/>
      <c r="R680" s="6"/>
      <c r="S680" s="6"/>
      <c r="T680" s="6"/>
      <c r="U680" s="6"/>
      <c r="V680" s="6"/>
      <c r="W680" s="6"/>
      <c r="X680" s="6"/>
    </row>
    <row r="681" hidden="1">
      <c r="A681" s="6"/>
      <c r="B681" s="6"/>
      <c r="C681" s="6"/>
      <c r="D681" s="6"/>
      <c r="E681" s="6"/>
      <c r="F681" s="6"/>
      <c r="G681" s="6" t="str">
        <f>IFERROR(__xludf.DUMMYFUNCTION("""COMPUTED_VALUE"""),"")</f>
        <v/>
      </c>
      <c r="H681" s="6"/>
      <c r="I681" s="6"/>
      <c r="J681" s="6"/>
      <c r="K681" s="6"/>
      <c r="L681" s="6"/>
      <c r="M681" s="6"/>
      <c r="N681" s="6"/>
      <c r="O681" s="6"/>
      <c r="P681" s="6"/>
      <c r="Q681" s="6"/>
      <c r="R681" s="6"/>
      <c r="S681" s="6"/>
      <c r="T681" s="6"/>
      <c r="U681" s="6"/>
      <c r="V681" s="6"/>
      <c r="W681" s="6"/>
      <c r="X681" s="6"/>
    </row>
    <row r="682" hidden="1">
      <c r="A682" s="6"/>
      <c r="B682" s="6"/>
      <c r="C682" s="6"/>
      <c r="D682" s="6"/>
      <c r="E682" s="6"/>
      <c r="F682" s="6"/>
      <c r="G682" s="6" t="str">
        <f>IFERROR(__xludf.DUMMYFUNCTION("""COMPUTED_VALUE"""),"")</f>
        <v/>
      </c>
      <c r="H682" s="6"/>
      <c r="I682" s="6"/>
      <c r="J682" s="6"/>
      <c r="K682" s="6"/>
      <c r="L682" s="6"/>
      <c r="M682" s="6"/>
      <c r="N682" s="6"/>
      <c r="O682" s="6"/>
      <c r="P682" s="6"/>
      <c r="Q682" s="6"/>
      <c r="R682" s="6"/>
      <c r="S682" s="6"/>
      <c r="T682" s="6"/>
      <c r="U682" s="6"/>
      <c r="V682" s="6"/>
      <c r="W682" s="6"/>
      <c r="X682" s="6"/>
    </row>
    <row r="683" hidden="1">
      <c r="A683" s="6"/>
      <c r="B683" s="6"/>
      <c r="C683" s="6"/>
      <c r="D683" s="6"/>
      <c r="E683" s="6"/>
      <c r="F683" s="6"/>
      <c r="G683" s="6" t="str">
        <f>IFERROR(__xludf.DUMMYFUNCTION("""COMPUTED_VALUE"""),"")</f>
        <v/>
      </c>
      <c r="H683" s="6"/>
      <c r="I683" s="6"/>
      <c r="J683" s="6"/>
      <c r="K683" s="6"/>
      <c r="L683" s="6"/>
      <c r="M683" s="6"/>
      <c r="N683" s="6"/>
      <c r="O683" s="6"/>
      <c r="P683" s="6"/>
      <c r="Q683" s="6"/>
      <c r="R683" s="6"/>
      <c r="S683" s="6"/>
      <c r="T683" s="6"/>
      <c r="U683" s="6"/>
      <c r="V683" s="6"/>
      <c r="W683" s="6"/>
      <c r="X683" s="6"/>
    </row>
    <row r="684" hidden="1">
      <c r="A684" s="6"/>
      <c r="B684" s="6"/>
      <c r="C684" s="6"/>
      <c r="D684" s="6"/>
      <c r="E684" s="6"/>
      <c r="F684" s="6"/>
      <c r="G684" s="6" t="str">
        <f>IFERROR(__xludf.DUMMYFUNCTION("""COMPUTED_VALUE"""),"")</f>
        <v/>
      </c>
      <c r="H684" s="6"/>
      <c r="I684" s="6"/>
      <c r="J684" s="6"/>
      <c r="K684" s="6"/>
      <c r="L684" s="6"/>
      <c r="M684" s="6"/>
      <c r="N684" s="6"/>
      <c r="O684" s="6"/>
      <c r="P684" s="6"/>
      <c r="Q684" s="6"/>
      <c r="R684" s="6"/>
      <c r="S684" s="6"/>
      <c r="T684" s="6"/>
      <c r="U684" s="6"/>
      <c r="V684" s="6"/>
      <c r="W684" s="6"/>
      <c r="X684" s="6"/>
    </row>
    <row r="685" hidden="1">
      <c r="A685" s="6"/>
      <c r="B685" s="6"/>
      <c r="C685" s="6"/>
      <c r="D685" s="6"/>
      <c r="E685" s="6"/>
      <c r="F685" s="6"/>
      <c r="G685" s="6" t="str">
        <f>IFERROR(__xludf.DUMMYFUNCTION("""COMPUTED_VALUE"""),"")</f>
        <v/>
      </c>
      <c r="H685" s="6"/>
      <c r="I685" s="6"/>
      <c r="J685" s="6"/>
      <c r="K685" s="6"/>
      <c r="L685" s="6"/>
      <c r="M685" s="6"/>
      <c r="N685" s="6"/>
      <c r="O685" s="6"/>
      <c r="P685" s="6"/>
      <c r="Q685" s="6"/>
      <c r="R685" s="6"/>
      <c r="S685" s="6"/>
      <c r="T685" s="6"/>
      <c r="U685" s="6"/>
      <c r="V685" s="6"/>
      <c r="W685" s="6"/>
      <c r="X685" s="6"/>
    </row>
    <row r="686" hidden="1">
      <c r="A686" s="6"/>
      <c r="B686" s="6"/>
      <c r="C686" s="6"/>
      <c r="D686" s="6"/>
      <c r="E686" s="6"/>
      <c r="F686" s="6"/>
      <c r="G686" s="6" t="str">
        <f>IFERROR(__xludf.DUMMYFUNCTION("""COMPUTED_VALUE"""),"")</f>
        <v/>
      </c>
      <c r="H686" s="6"/>
      <c r="I686" s="6"/>
      <c r="J686" s="6"/>
      <c r="K686" s="6"/>
      <c r="L686" s="6"/>
      <c r="M686" s="6"/>
      <c r="N686" s="6"/>
      <c r="O686" s="6"/>
      <c r="P686" s="6"/>
      <c r="Q686" s="6"/>
      <c r="R686" s="6"/>
      <c r="S686" s="6"/>
      <c r="T686" s="6"/>
      <c r="U686" s="6"/>
      <c r="V686" s="6"/>
      <c r="W686" s="6"/>
      <c r="X686" s="6"/>
    </row>
    <row r="687" hidden="1">
      <c r="A687" s="6"/>
      <c r="B687" s="6"/>
      <c r="C687" s="6"/>
      <c r="D687" s="6"/>
      <c r="E687" s="6"/>
      <c r="F687" s="6"/>
      <c r="G687" s="6" t="str">
        <f>IFERROR(__xludf.DUMMYFUNCTION("""COMPUTED_VALUE"""),"")</f>
        <v/>
      </c>
      <c r="H687" s="6"/>
      <c r="I687" s="6"/>
      <c r="J687" s="6"/>
      <c r="K687" s="6"/>
      <c r="L687" s="6"/>
      <c r="M687" s="6"/>
      <c r="N687" s="6"/>
      <c r="O687" s="6"/>
      <c r="P687" s="6"/>
      <c r="Q687" s="6"/>
      <c r="R687" s="6"/>
      <c r="S687" s="6"/>
      <c r="T687" s="6"/>
      <c r="U687" s="6"/>
      <c r="V687" s="6"/>
      <c r="W687" s="6"/>
      <c r="X687" s="6"/>
    </row>
    <row r="688" hidden="1">
      <c r="A688" s="6"/>
      <c r="B688" s="6"/>
      <c r="C688" s="6"/>
      <c r="D688" s="6"/>
      <c r="E688" s="6"/>
      <c r="F688" s="6"/>
      <c r="G688" s="6" t="str">
        <f>IFERROR(__xludf.DUMMYFUNCTION("""COMPUTED_VALUE"""),"")</f>
        <v/>
      </c>
      <c r="H688" s="6"/>
      <c r="I688" s="6"/>
      <c r="J688" s="6"/>
      <c r="K688" s="6"/>
      <c r="L688" s="6"/>
      <c r="M688" s="6"/>
      <c r="N688" s="6"/>
      <c r="O688" s="6"/>
      <c r="P688" s="6"/>
      <c r="Q688" s="6"/>
      <c r="R688" s="6"/>
      <c r="S688" s="6"/>
      <c r="T688" s="6"/>
      <c r="U688" s="6"/>
      <c r="V688" s="6"/>
      <c r="W688" s="6"/>
      <c r="X688" s="6"/>
    </row>
    <row r="689" hidden="1">
      <c r="A689" s="6"/>
      <c r="B689" s="6"/>
      <c r="C689" s="6"/>
      <c r="D689" s="6"/>
      <c r="E689" s="6"/>
      <c r="F689" s="6"/>
      <c r="G689" s="6" t="str">
        <f>IFERROR(__xludf.DUMMYFUNCTION("""COMPUTED_VALUE"""),"")</f>
        <v/>
      </c>
      <c r="H689" s="6"/>
      <c r="I689" s="6"/>
      <c r="J689" s="6"/>
      <c r="K689" s="6"/>
      <c r="L689" s="6"/>
      <c r="M689" s="6"/>
      <c r="N689" s="6"/>
      <c r="O689" s="6"/>
      <c r="P689" s="6"/>
      <c r="Q689" s="6"/>
      <c r="R689" s="6"/>
      <c r="S689" s="6"/>
      <c r="T689" s="6"/>
      <c r="U689" s="6"/>
      <c r="V689" s="6"/>
      <c r="W689" s="6"/>
      <c r="X689" s="6"/>
    </row>
    <row r="690" hidden="1">
      <c r="A690" s="6"/>
      <c r="B690" s="6"/>
      <c r="C690" s="6"/>
      <c r="D690" s="6"/>
      <c r="E690" s="6"/>
      <c r="F690" s="6"/>
      <c r="G690" s="6" t="str">
        <f>IFERROR(__xludf.DUMMYFUNCTION("""COMPUTED_VALUE"""),"")</f>
        <v/>
      </c>
      <c r="H690" s="6"/>
      <c r="I690" s="6"/>
      <c r="J690" s="6"/>
      <c r="K690" s="6"/>
      <c r="L690" s="6"/>
      <c r="M690" s="6"/>
      <c r="N690" s="6"/>
      <c r="O690" s="6"/>
      <c r="P690" s="6"/>
      <c r="Q690" s="6"/>
      <c r="R690" s="6"/>
      <c r="S690" s="6"/>
      <c r="T690" s="6"/>
      <c r="U690" s="6"/>
      <c r="V690" s="6"/>
      <c r="W690" s="6"/>
      <c r="X690" s="6"/>
    </row>
    <row r="691" hidden="1">
      <c r="A691" s="6"/>
      <c r="B691" s="6"/>
      <c r="C691" s="6"/>
      <c r="D691" s="6"/>
      <c r="E691" s="6"/>
      <c r="F691" s="6"/>
      <c r="G691" s="6" t="str">
        <f>IFERROR(__xludf.DUMMYFUNCTION("""COMPUTED_VALUE"""),"")</f>
        <v/>
      </c>
      <c r="H691" s="6"/>
      <c r="I691" s="6"/>
      <c r="J691" s="6"/>
      <c r="K691" s="6"/>
      <c r="L691" s="6"/>
      <c r="M691" s="6"/>
      <c r="N691" s="6"/>
      <c r="O691" s="6"/>
      <c r="P691" s="6"/>
      <c r="Q691" s="6"/>
      <c r="R691" s="6"/>
      <c r="S691" s="6"/>
      <c r="T691" s="6"/>
      <c r="U691" s="6"/>
      <c r="V691" s="6"/>
      <c r="W691" s="6"/>
      <c r="X691" s="6"/>
    </row>
    <row r="692" hidden="1">
      <c r="A692" s="6"/>
      <c r="B692" s="6"/>
      <c r="C692" s="6"/>
      <c r="D692" s="6"/>
      <c r="E692" s="6"/>
      <c r="F692" s="6"/>
      <c r="G692" s="6" t="str">
        <f>IFERROR(__xludf.DUMMYFUNCTION("""COMPUTED_VALUE"""),"")</f>
        <v/>
      </c>
      <c r="H692" s="6"/>
      <c r="I692" s="6"/>
      <c r="J692" s="6"/>
      <c r="K692" s="6"/>
      <c r="L692" s="6"/>
      <c r="M692" s="6"/>
      <c r="N692" s="6"/>
      <c r="O692" s="6"/>
      <c r="P692" s="6"/>
      <c r="Q692" s="6"/>
      <c r="R692" s="6"/>
      <c r="S692" s="6"/>
      <c r="T692" s="6"/>
      <c r="U692" s="6"/>
      <c r="V692" s="6"/>
      <c r="W692" s="6"/>
      <c r="X692" s="6"/>
    </row>
    <row r="693" hidden="1">
      <c r="A693" s="6"/>
      <c r="B693" s="6"/>
      <c r="C693" s="6"/>
      <c r="D693" s="6"/>
      <c r="E693" s="6"/>
      <c r="F693" s="6"/>
      <c r="G693" s="6" t="str">
        <f>IFERROR(__xludf.DUMMYFUNCTION("""COMPUTED_VALUE"""),"")</f>
        <v/>
      </c>
      <c r="H693" s="6"/>
      <c r="I693" s="6"/>
      <c r="J693" s="6"/>
      <c r="K693" s="6"/>
      <c r="L693" s="6"/>
      <c r="M693" s="6"/>
      <c r="N693" s="6"/>
      <c r="O693" s="6"/>
      <c r="P693" s="6"/>
      <c r="Q693" s="6"/>
      <c r="R693" s="6"/>
      <c r="S693" s="6"/>
      <c r="T693" s="6"/>
      <c r="U693" s="6"/>
      <c r="V693" s="6"/>
      <c r="W693" s="6"/>
      <c r="X693" s="6"/>
    </row>
    <row r="694" hidden="1">
      <c r="A694" s="6"/>
      <c r="B694" s="6"/>
      <c r="C694" s="6"/>
      <c r="D694" s="6"/>
      <c r="E694" s="6"/>
      <c r="F694" s="6"/>
      <c r="G694" s="6" t="str">
        <f>IFERROR(__xludf.DUMMYFUNCTION("""COMPUTED_VALUE"""),"")</f>
        <v/>
      </c>
      <c r="H694" s="6"/>
      <c r="I694" s="6"/>
      <c r="J694" s="6"/>
      <c r="K694" s="6"/>
      <c r="L694" s="6"/>
      <c r="M694" s="6"/>
      <c r="N694" s="6"/>
      <c r="O694" s="6"/>
      <c r="P694" s="6"/>
      <c r="Q694" s="6"/>
      <c r="R694" s="6"/>
      <c r="S694" s="6"/>
      <c r="T694" s="6"/>
      <c r="U694" s="6"/>
      <c r="V694" s="6"/>
      <c r="W694" s="6"/>
      <c r="X694" s="6"/>
    </row>
    <row r="695" hidden="1">
      <c r="A695" s="6"/>
      <c r="B695" s="6"/>
      <c r="C695" s="6"/>
      <c r="D695" s="6"/>
      <c r="E695" s="6"/>
      <c r="F695" s="6"/>
      <c r="G695" s="6" t="str">
        <f>IFERROR(__xludf.DUMMYFUNCTION("""COMPUTED_VALUE"""),"")</f>
        <v/>
      </c>
      <c r="H695" s="6"/>
      <c r="I695" s="6"/>
      <c r="J695" s="6"/>
      <c r="K695" s="6"/>
      <c r="L695" s="6"/>
      <c r="M695" s="6"/>
      <c r="N695" s="6"/>
      <c r="O695" s="6"/>
      <c r="P695" s="6"/>
      <c r="Q695" s="6"/>
      <c r="R695" s="6"/>
      <c r="S695" s="6"/>
      <c r="T695" s="6"/>
      <c r="U695" s="6"/>
      <c r="V695" s="6"/>
      <c r="W695" s="6"/>
      <c r="X695" s="6"/>
    </row>
    <row r="696" hidden="1">
      <c r="A696" s="6"/>
      <c r="B696" s="6"/>
      <c r="C696" s="6"/>
      <c r="D696" s="6"/>
      <c r="E696" s="6"/>
      <c r="F696" s="6"/>
      <c r="G696" s="6" t="str">
        <f>IFERROR(__xludf.DUMMYFUNCTION("""COMPUTED_VALUE"""),"")</f>
        <v/>
      </c>
      <c r="H696" s="6"/>
      <c r="I696" s="6"/>
      <c r="J696" s="6"/>
      <c r="K696" s="6"/>
      <c r="L696" s="6"/>
      <c r="M696" s="6"/>
      <c r="N696" s="6"/>
      <c r="O696" s="6"/>
      <c r="P696" s="6"/>
      <c r="Q696" s="6"/>
      <c r="R696" s="6"/>
      <c r="S696" s="6"/>
      <c r="T696" s="6"/>
      <c r="U696" s="6"/>
      <c r="V696" s="6"/>
      <c r="W696" s="6"/>
      <c r="X696" s="6"/>
    </row>
    <row r="697" hidden="1">
      <c r="A697" s="6"/>
      <c r="B697" s="6"/>
      <c r="C697" s="6"/>
      <c r="D697" s="6"/>
      <c r="E697" s="6"/>
      <c r="F697" s="6"/>
      <c r="G697" s="6" t="str">
        <f>IFERROR(__xludf.DUMMYFUNCTION("""COMPUTED_VALUE"""),"")</f>
        <v/>
      </c>
      <c r="H697" s="6"/>
      <c r="I697" s="6"/>
      <c r="J697" s="6"/>
      <c r="K697" s="6"/>
      <c r="L697" s="6"/>
      <c r="M697" s="6"/>
      <c r="N697" s="6"/>
      <c r="O697" s="6"/>
      <c r="P697" s="6"/>
      <c r="Q697" s="6"/>
      <c r="R697" s="6"/>
      <c r="S697" s="6"/>
      <c r="T697" s="6"/>
      <c r="U697" s="6"/>
      <c r="V697" s="6"/>
      <c r="W697" s="6"/>
      <c r="X697" s="6"/>
    </row>
    <row r="698" hidden="1">
      <c r="A698" s="6"/>
      <c r="B698" s="6"/>
      <c r="C698" s="6"/>
      <c r="D698" s="6"/>
      <c r="E698" s="6"/>
      <c r="F698" s="6"/>
      <c r="G698" s="6" t="str">
        <f>IFERROR(__xludf.DUMMYFUNCTION("""COMPUTED_VALUE"""),"")</f>
        <v/>
      </c>
      <c r="H698" s="6"/>
      <c r="I698" s="6"/>
      <c r="J698" s="6"/>
      <c r="K698" s="6"/>
      <c r="L698" s="6"/>
      <c r="M698" s="6"/>
      <c r="N698" s="6"/>
      <c r="O698" s="6"/>
      <c r="P698" s="6"/>
      <c r="Q698" s="6"/>
      <c r="R698" s="6"/>
      <c r="S698" s="6"/>
      <c r="T698" s="6"/>
      <c r="U698" s="6"/>
      <c r="V698" s="6"/>
      <c r="W698" s="6"/>
      <c r="X698" s="6"/>
    </row>
    <row r="699" hidden="1">
      <c r="A699" s="6"/>
      <c r="B699" s="6"/>
      <c r="C699" s="6"/>
      <c r="D699" s="6"/>
      <c r="E699" s="6"/>
      <c r="F699" s="6"/>
      <c r="G699" s="6" t="str">
        <f>IFERROR(__xludf.DUMMYFUNCTION("""COMPUTED_VALUE"""),"")</f>
        <v/>
      </c>
      <c r="H699" s="6"/>
      <c r="I699" s="6"/>
      <c r="J699" s="6"/>
      <c r="K699" s="6"/>
      <c r="L699" s="6"/>
      <c r="M699" s="6"/>
      <c r="N699" s="6"/>
      <c r="O699" s="6"/>
      <c r="P699" s="6"/>
      <c r="Q699" s="6"/>
      <c r="R699" s="6"/>
      <c r="S699" s="6"/>
      <c r="T699" s="6"/>
      <c r="U699" s="6"/>
      <c r="V699" s="6"/>
      <c r="W699" s="6"/>
      <c r="X699" s="6"/>
    </row>
    <row r="700" hidden="1">
      <c r="A700" s="6"/>
      <c r="B700" s="6"/>
      <c r="C700" s="6"/>
      <c r="D700" s="6"/>
      <c r="E700" s="6"/>
      <c r="F700" s="6"/>
      <c r="G700" s="6" t="str">
        <f>IFERROR(__xludf.DUMMYFUNCTION("""COMPUTED_VALUE"""),"")</f>
        <v/>
      </c>
      <c r="H700" s="6"/>
      <c r="I700" s="6"/>
      <c r="J700" s="6"/>
      <c r="K700" s="6"/>
      <c r="L700" s="6"/>
      <c r="M700" s="6"/>
      <c r="N700" s="6"/>
      <c r="O700" s="6"/>
      <c r="P700" s="6"/>
      <c r="Q700" s="6"/>
      <c r="R700" s="6"/>
      <c r="S700" s="6"/>
      <c r="T700" s="6"/>
      <c r="U700" s="6"/>
      <c r="V700" s="6"/>
      <c r="W700" s="6"/>
      <c r="X700" s="6"/>
    </row>
    <row r="701" hidden="1">
      <c r="A701" s="6"/>
      <c r="B701" s="6"/>
      <c r="C701" s="6"/>
      <c r="D701" s="6"/>
      <c r="E701" s="6"/>
      <c r="F701" s="6"/>
      <c r="G701" s="6" t="str">
        <f>IFERROR(__xludf.DUMMYFUNCTION("""COMPUTED_VALUE"""),"")</f>
        <v/>
      </c>
      <c r="H701" s="6"/>
      <c r="I701" s="6"/>
      <c r="J701" s="6"/>
      <c r="K701" s="6"/>
      <c r="L701" s="6"/>
      <c r="M701" s="6"/>
      <c r="N701" s="6"/>
      <c r="O701" s="6"/>
      <c r="P701" s="6"/>
      <c r="Q701" s="6"/>
      <c r="R701" s="6"/>
      <c r="S701" s="6"/>
      <c r="T701" s="6"/>
      <c r="U701" s="6"/>
      <c r="V701" s="6"/>
      <c r="W701" s="6"/>
      <c r="X701" s="6"/>
    </row>
    <row r="702" hidden="1">
      <c r="A702" s="6"/>
      <c r="B702" s="6"/>
      <c r="C702" s="6"/>
      <c r="D702" s="6"/>
      <c r="E702" s="6"/>
      <c r="F702" s="6"/>
      <c r="G702" s="6" t="str">
        <f>IFERROR(__xludf.DUMMYFUNCTION("""COMPUTED_VALUE"""),"")</f>
        <v/>
      </c>
      <c r="H702" s="6"/>
      <c r="I702" s="6"/>
      <c r="J702" s="6"/>
      <c r="K702" s="6"/>
      <c r="L702" s="6"/>
      <c r="M702" s="6"/>
      <c r="N702" s="6"/>
      <c r="O702" s="6"/>
      <c r="P702" s="6"/>
      <c r="Q702" s="6"/>
      <c r="R702" s="6"/>
      <c r="S702" s="6"/>
      <c r="T702" s="6"/>
      <c r="U702" s="6"/>
      <c r="V702" s="6"/>
      <c r="W702" s="6"/>
      <c r="X702" s="6"/>
    </row>
    <row r="703" hidden="1">
      <c r="A703" s="6"/>
      <c r="B703" s="6"/>
      <c r="C703" s="6"/>
      <c r="D703" s="6"/>
      <c r="E703" s="6"/>
      <c r="F703" s="6"/>
      <c r="G703" s="6" t="str">
        <f>IFERROR(__xludf.DUMMYFUNCTION("""COMPUTED_VALUE"""),"")</f>
        <v/>
      </c>
      <c r="H703" s="6"/>
      <c r="I703" s="6"/>
      <c r="J703" s="6"/>
      <c r="K703" s="6"/>
      <c r="L703" s="6"/>
      <c r="M703" s="6"/>
      <c r="N703" s="6"/>
      <c r="O703" s="6"/>
      <c r="P703" s="6"/>
      <c r="Q703" s="6"/>
      <c r="R703" s="6"/>
      <c r="S703" s="6"/>
      <c r="T703" s="6"/>
      <c r="U703" s="6"/>
      <c r="V703" s="6"/>
      <c r="W703" s="6"/>
      <c r="X703" s="6"/>
    </row>
    <row r="704" hidden="1">
      <c r="A704" s="6"/>
      <c r="B704" s="6"/>
      <c r="C704" s="6"/>
      <c r="D704" s="6"/>
      <c r="E704" s="6"/>
      <c r="F704" s="6"/>
      <c r="G704" s="6" t="str">
        <f>IFERROR(__xludf.DUMMYFUNCTION("""COMPUTED_VALUE"""),"")</f>
        <v/>
      </c>
      <c r="H704" s="6"/>
      <c r="I704" s="6"/>
      <c r="J704" s="6"/>
      <c r="K704" s="6"/>
      <c r="L704" s="6"/>
      <c r="M704" s="6"/>
      <c r="N704" s="6"/>
      <c r="O704" s="6"/>
      <c r="P704" s="6"/>
      <c r="Q704" s="6"/>
      <c r="R704" s="6"/>
      <c r="S704" s="6"/>
      <c r="T704" s="6"/>
      <c r="U704" s="6"/>
      <c r="V704" s="6"/>
      <c r="W704" s="6"/>
      <c r="X704" s="6"/>
    </row>
    <row r="705" hidden="1">
      <c r="A705" s="6"/>
      <c r="B705" s="6"/>
      <c r="C705" s="6"/>
      <c r="D705" s="6"/>
      <c r="E705" s="6"/>
      <c r="F705" s="6"/>
      <c r="G705" s="6" t="str">
        <f>IFERROR(__xludf.DUMMYFUNCTION("""COMPUTED_VALUE"""),"")</f>
        <v/>
      </c>
      <c r="H705" s="6"/>
      <c r="I705" s="6"/>
      <c r="J705" s="6"/>
      <c r="K705" s="6"/>
      <c r="L705" s="6"/>
      <c r="M705" s="6"/>
      <c r="N705" s="6"/>
      <c r="O705" s="6"/>
      <c r="P705" s="6"/>
      <c r="Q705" s="6"/>
      <c r="R705" s="6"/>
      <c r="S705" s="6"/>
      <c r="T705" s="6"/>
      <c r="U705" s="6"/>
      <c r="V705" s="6"/>
      <c r="W705" s="6"/>
      <c r="X705" s="6"/>
    </row>
    <row r="706" hidden="1">
      <c r="A706" s="6"/>
      <c r="B706" s="6"/>
      <c r="C706" s="6"/>
      <c r="D706" s="6"/>
      <c r="E706" s="6"/>
      <c r="F706" s="6"/>
      <c r="G706" s="6" t="str">
        <f>IFERROR(__xludf.DUMMYFUNCTION("""COMPUTED_VALUE"""),"")</f>
        <v/>
      </c>
      <c r="H706" s="6"/>
      <c r="I706" s="6"/>
      <c r="J706" s="6"/>
      <c r="K706" s="6"/>
      <c r="L706" s="6"/>
      <c r="M706" s="6"/>
      <c r="N706" s="6"/>
      <c r="O706" s="6"/>
      <c r="P706" s="6"/>
      <c r="Q706" s="6"/>
      <c r="R706" s="6"/>
      <c r="S706" s="6"/>
      <c r="T706" s="6"/>
      <c r="U706" s="6"/>
      <c r="V706" s="6"/>
      <c r="W706" s="6"/>
      <c r="X706" s="6"/>
    </row>
    <row r="707" hidden="1">
      <c r="A707" s="6"/>
      <c r="B707" s="6"/>
      <c r="C707" s="6"/>
      <c r="D707" s="6"/>
      <c r="E707" s="6"/>
      <c r="F707" s="6"/>
      <c r="G707" s="6" t="str">
        <f>IFERROR(__xludf.DUMMYFUNCTION("""COMPUTED_VALUE"""),"")</f>
        <v/>
      </c>
      <c r="H707" s="6"/>
      <c r="I707" s="6"/>
      <c r="J707" s="6"/>
      <c r="K707" s="6"/>
      <c r="L707" s="6"/>
      <c r="M707" s="6"/>
      <c r="N707" s="6"/>
      <c r="O707" s="6"/>
      <c r="P707" s="6"/>
      <c r="Q707" s="6"/>
      <c r="R707" s="6"/>
      <c r="S707" s="6"/>
      <c r="T707" s="6"/>
      <c r="U707" s="6"/>
      <c r="V707" s="6"/>
      <c r="W707" s="6"/>
      <c r="X707" s="6"/>
    </row>
    <row r="708" hidden="1">
      <c r="A708" s="6"/>
      <c r="B708" s="6"/>
      <c r="C708" s="6"/>
      <c r="D708" s="6"/>
      <c r="E708" s="6"/>
      <c r="F708" s="6"/>
      <c r="G708" s="6" t="str">
        <f>IFERROR(__xludf.DUMMYFUNCTION("""COMPUTED_VALUE"""),"")</f>
        <v/>
      </c>
      <c r="H708" s="6"/>
      <c r="I708" s="6"/>
      <c r="J708" s="6"/>
      <c r="K708" s="6"/>
      <c r="L708" s="6"/>
      <c r="M708" s="6"/>
      <c r="N708" s="6"/>
      <c r="O708" s="6"/>
      <c r="P708" s="6"/>
      <c r="Q708" s="6"/>
      <c r="R708" s="6"/>
      <c r="S708" s="6"/>
      <c r="T708" s="6"/>
      <c r="U708" s="6"/>
      <c r="V708" s="6"/>
      <c r="W708" s="6"/>
      <c r="X708" s="6"/>
    </row>
    <row r="709" hidden="1">
      <c r="A709" s="6"/>
      <c r="B709" s="6"/>
      <c r="C709" s="6"/>
      <c r="D709" s="6"/>
      <c r="E709" s="6"/>
      <c r="F709" s="6"/>
      <c r="G709" s="6" t="str">
        <f>IFERROR(__xludf.DUMMYFUNCTION("""COMPUTED_VALUE"""),"")</f>
        <v/>
      </c>
      <c r="H709" s="6"/>
      <c r="I709" s="6"/>
      <c r="J709" s="6"/>
      <c r="K709" s="6"/>
      <c r="L709" s="6"/>
      <c r="M709" s="6"/>
      <c r="N709" s="6"/>
      <c r="O709" s="6"/>
      <c r="P709" s="6"/>
      <c r="Q709" s="6"/>
      <c r="R709" s="6"/>
      <c r="S709" s="6"/>
      <c r="T709" s="6"/>
      <c r="U709" s="6"/>
      <c r="V709" s="6"/>
      <c r="W709" s="6"/>
      <c r="X709" s="6"/>
    </row>
    <row r="710" hidden="1">
      <c r="A710" s="6"/>
      <c r="B710" s="6"/>
      <c r="C710" s="6"/>
      <c r="D710" s="6"/>
      <c r="E710" s="6"/>
      <c r="F710" s="6"/>
      <c r="G710" s="6" t="str">
        <f>IFERROR(__xludf.DUMMYFUNCTION("""COMPUTED_VALUE"""),"")</f>
        <v/>
      </c>
      <c r="H710" s="6"/>
      <c r="I710" s="6"/>
      <c r="J710" s="6"/>
      <c r="K710" s="6"/>
      <c r="L710" s="6"/>
      <c r="M710" s="6"/>
      <c r="N710" s="6"/>
      <c r="O710" s="6"/>
      <c r="P710" s="6"/>
      <c r="Q710" s="6"/>
      <c r="R710" s="6"/>
      <c r="S710" s="6"/>
      <c r="T710" s="6"/>
      <c r="U710" s="6"/>
      <c r="V710" s="6"/>
      <c r="W710" s="6"/>
      <c r="X710" s="6"/>
    </row>
    <row r="711" hidden="1">
      <c r="A711" s="6"/>
      <c r="B711" s="6"/>
      <c r="C711" s="6"/>
      <c r="D711" s="6"/>
      <c r="E711" s="6"/>
      <c r="F711" s="6"/>
      <c r="G711" s="6" t="str">
        <f>IFERROR(__xludf.DUMMYFUNCTION("""COMPUTED_VALUE"""),"")</f>
        <v/>
      </c>
      <c r="H711" s="6"/>
      <c r="I711" s="6"/>
      <c r="J711" s="6"/>
      <c r="K711" s="6"/>
      <c r="L711" s="6"/>
      <c r="M711" s="6"/>
      <c r="N711" s="6"/>
      <c r="O711" s="6"/>
      <c r="P711" s="6"/>
      <c r="Q711" s="6"/>
      <c r="R711" s="6"/>
      <c r="S711" s="6"/>
      <c r="T711" s="6"/>
      <c r="U711" s="6"/>
      <c r="V711" s="6"/>
      <c r="W711" s="6"/>
      <c r="X711" s="6"/>
    </row>
    <row r="712" hidden="1">
      <c r="A712" s="6"/>
      <c r="B712" s="6"/>
      <c r="C712" s="6"/>
      <c r="D712" s="6"/>
      <c r="E712" s="6"/>
      <c r="F712" s="6"/>
      <c r="G712" s="6" t="str">
        <f>IFERROR(__xludf.DUMMYFUNCTION("""COMPUTED_VALUE"""),"")</f>
        <v/>
      </c>
      <c r="H712" s="6"/>
      <c r="I712" s="6"/>
      <c r="J712" s="6"/>
      <c r="K712" s="6"/>
      <c r="L712" s="6"/>
      <c r="M712" s="6"/>
      <c r="N712" s="6"/>
      <c r="O712" s="6"/>
      <c r="P712" s="6"/>
      <c r="Q712" s="6"/>
      <c r="R712" s="6"/>
      <c r="S712" s="6"/>
      <c r="T712" s="6"/>
      <c r="U712" s="6"/>
      <c r="V712" s="6"/>
      <c r="W712" s="6"/>
      <c r="X712" s="6"/>
    </row>
    <row r="713" hidden="1">
      <c r="A713" s="6"/>
      <c r="B713" s="6"/>
      <c r="C713" s="6"/>
      <c r="D713" s="6"/>
      <c r="E713" s="6"/>
      <c r="F713" s="6"/>
      <c r="G713" s="6" t="str">
        <f>IFERROR(__xludf.DUMMYFUNCTION("""COMPUTED_VALUE"""),"")</f>
        <v/>
      </c>
      <c r="H713" s="6"/>
      <c r="I713" s="6"/>
      <c r="J713" s="6"/>
      <c r="K713" s="6"/>
      <c r="L713" s="6"/>
      <c r="M713" s="6"/>
      <c r="N713" s="6"/>
      <c r="O713" s="6"/>
      <c r="P713" s="6"/>
      <c r="Q713" s="6"/>
      <c r="R713" s="6"/>
      <c r="S713" s="6"/>
      <c r="T713" s="6"/>
      <c r="U713" s="6"/>
      <c r="V713" s="6"/>
      <c r="W713" s="6"/>
      <c r="X713" s="6"/>
    </row>
    <row r="714" hidden="1">
      <c r="A714" s="6"/>
      <c r="B714" s="6"/>
      <c r="C714" s="6"/>
      <c r="D714" s="6"/>
      <c r="E714" s="6"/>
      <c r="F714" s="6"/>
      <c r="G714" s="6" t="str">
        <f>IFERROR(__xludf.DUMMYFUNCTION("""COMPUTED_VALUE"""),"")</f>
        <v/>
      </c>
      <c r="H714" s="6"/>
      <c r="I714" s="6"/>
      <c r="J714" s="6"/>
      <c r="K714" s="6"/>
      <c r="L714" s="6"/>
      <c r="M714" s="6"/>
      <c r="N714" s="6"/>
      <c r="O714" s="6"/>
      <c r="P714" s="6"/>
      <c r="Q714" s="6"/>
      <c r="R714" s="6"/>
      <c r="S714" s="6"/>
      <c r="T714" s="6"/>
      <c r="U714" s="6"/>
      <c r="V714" s="6"/>
      <c r="W714" s="6"/>
      <c r="X714" s="6"/>
    </row>
    <row r="715" hidden="1">
      <c r="A715" s="6"/>
      <c r="B715" s="6"/>
      <c r="C715" s="6"/>
      <c r="D715" s="6"/>
      <c r="E715" s="6"/>
      <c r="F715" s="6"/>
      <c r="G715" s="6" t="str">
        <f>IFERROR(__xludf.DUMMYFUNCTION("""COMPUTED_VALUE"""),"")</f>
        <v/>
      </c>
      <c r="H715" s="6"/>
      <c r="I715" s="6"/>
      <c r="J715" s="6"/>
      <c r="K715" s="6"/>
      <c r="L715" s="6"/>
      <c r="M715" s="6"/>
      <c r="N715" s="6"/>
      <c r="O715" s="6"/>
      <c r="P715" s="6"/>
      <c r="Q715" s="6"/>
      <c r="R715" s="6"/>
      <c r="S715" s="6"/>
      <c r="T715" s="6"/>
      <c r="U715" s="6"/>
      <c r="V715" s="6"/>
      <c r="W715" s="6"/>
      <c r="X715" s="6"/>
    </row>
    <row r="716" hidden="1">
      <c r="A716" s="6"/>
      <c r="B716" s="6"/>
      <c r="C716" s="6"/>
      <c r="D716" s="6"/>
      <c r="E716" s="6"/>
      <c r="F716" s="6"/>
      <c r="G716" s="6" t="str">
        <f>IFERROR(__xludf.DUMMYFUNCTION("""COMPUTED_VALUE"""),"")</f>
        <v/>
      </c>
      <c r="H716" s="6"/>
      <c r="I716" s="6"/>
      <c r="J716" s="6"/>
      <c r="K716" s="6"/>
      <c r="L716" s="6"/>
      <c r="M716" s="6"/>
      <c r="N716" s="6"/>
      <c r="O716" s="6"/>
      <c r="P716" s="6"/>
      <c r="Q716" s="6"/>
      <c r="R716" s="6"/>
      <c r="S716" s="6"/>
      <c r="T716" s="6"/>
      <c r="U716" s="6"/>
      <c r="V716" s="6"/>
      <c r="W716" s="6"/>
      <c r="X716" s="6"/>
    </row>
    <row r="717" hidden="1">
      <c r="A717" s="6"/>
      <c r="B717" s="6"/>
      <c r="C717" s="6"/>
      <c r="D717" s="6"/>
      <c r="E717" s="6"/>
      <c r="F717" s="6"/>
      <c r="G717" s="6" t="str">
        <f>IFERROR(__xludf.DUMMYFUNCTION("""COMPUTED_VALUE"""),"")</f>
        <v/>
      </c>
      <c r="H717" s="6"/>
      <c r="I717" s="6"/>
      <c r="J717" s="6"/>
      <c r="K717" s="6"/>
      <c r="L717" s="6"/>
      <c r="M717" s="6"/>
      <c r="N717" s="6"/>
      <c r="O717" s="6"/>
      <c r="P717" s="6"/>
      <c r="Q717" s="6"/>
      <c r="R717" s="6"/>
      <c r="S717" s="6"/>
      <c r="T717" s="6"/>
      <c r="U717" s="6"/>
      <c r="V717" s="6"/>
      <c r="W717" s="6"/>
      <c r="X717" s="6"/>
    </row>
    <row r="718" hidden="1">
      <c r="A718" s="6"/>
      <c r="B718" s="6"/>
      <c r="C718" s="6"/>
      <c r="D718" s="6"/>
      <c r="E718" s="6"/>
      <c r="F718" s="6"/>
      <c r="G718" s="6" t="str">
        <f>IFERROR(__xludf.DUMMYFUNCTION("""COMPUTED_VALUE"""),"")</f>
        <v/>
      </c>
      <c r="H718" s="6"/>
      <c r="I718" s="6"/>
      <c r="J718" s="6"/>
      <c r="K718" s="6"/>
      <c r="L718" s="6"/>
      <c r="M718" s="6"/>
      <c r="N718" s="6"/>
      <c r="O718" s="6"/>
      <c r="P718" s="6"/>
      <c r="Q718" s="6"/>
      <c r="R718" s="6"/>
      <c r="S718" s="6"/>
      <c r="T718" s="6"/>
      <c r="U718" s="6"/>
      <c r="V718" s="6"/>
      <c r="W718" s="6"/>
      <c r="X718" s="6"/>
    </row>
    <row r="719" hidden="1">
      <c r="A719" s="6"/>
      <c r="B719" s="6"/>
      <c r="C719" s="6"/>
      <c r="D719" s="6"/>
      <c r="E719" s="6"/>
      <c r="F719" s="6"/>
      <c r="G719" s="6" t="str">
        <f>IFERROR(__xludf.DUMMYFUNCTION("""COMPUTED_VALUE"""),"")</f>
        <v/>
      </c>
      <c r="H719" s="6"/>
      <c r="I719" s="6"/>
      <c r="J719" s="6"/>
      <c r="K719" s="6"/>
      <c r="L719" s="6"/>
      <c r="M719" s="6"/>
      <c r="N719" s="6"/>
      <c r="O719" s="6"/>
      <c r="P719" s="6"/>
      <c r="Q719" s="6"/>
      <c r="R719" s="6"/>
      <c r="S719" s="6"/>
      <c r="T719" s="6"/>
      <c r="U719" s="6"/>
      <c r="V719" s="6"/>
      <c r="W719" s="6"/>
      <c r="X719" s="6"/>
    </row>
    <row r="720" hidden="1">
      <c r="A720" s="6"/>
      <c r="B720" s="6"/>
      <c r="C720" s="6"/>
      <c r="D720" s="6"/>
      <c r="E720" s="6"/>
      <c r="F720" s="6"/>
      <c r="G720" s="6" t="str">
        <f>IFERROR(__xludf.DUMMYFUNCTION("""COMPUTED_VALUE"""),"")</f>
        <v/>
      </c>
      <c r="H720" s="6"/>
      <c r="I720" s="6"/>
      <c r="J720" s="6"/>
      <c r="K720" s="6"/>
      <c r="L720" s="6"/>
      <c r="M720" s="6"/>
      <c r="N720" s="6"/>
      <c r="O720" s="6"/>
      <c r="P720" s="6"/>
      <c r="Q720" s="6"/>
      <c r="R720" s="6"/>
      <c r="S720" s="6"/>
      <c r="T720" s="6"/>
      <c r="U720" s="6"/>
      <c r="V720" s="6"/>
      <c r="W720" s="6"/>
      <c r="X720" s="6"/>
    </row>
    <row r="721" hidden="1">
      <c r="A721" s="6"/>
      <c r="B721" s="6"/>
      <c r="C721" s="6"/>
      <c r="D721" s="6"/>
      <c r="E721" s="6"/>
      <c r="F721" s="6"/>
      <c r="G721" s="6" t="str">
        <f>IFERROR(__xludf.DUMMYFUNCTION("""COMPUTED_VALUE"""),"")</f>
        <v/>
      </c>
      <c r="H721" s="6"/>
      <c r="I721" s="6"/>
      <c r="J721" s="6"/>
      <c r="K721" s="6"/>
      <c r="L721" s="6"/>
      <c r="M721" s="6"/>
      <c r="N721" s="6"/>
      <c r="O721" s="6"/>
      <c r="P721" s="6"/>
      <c r="Q721" s="6"/>
      <c r="R721" s="6"/>
      <c r="S721" s="6"/>
      <c r="T721" s="6"/>
      <c r="U721" s="6"/>
      <c r="V721" s="6"/>
      <c r="W721" s="6"/>
      <c r="X721" s="6"/>
    </row>
    <row r="722" hidden="1">
      <c r="A722" s="6"/>
      <c r="B722" s="6"/>
      <c r="C722" s="6"/>
      <c r="D722" s="6"/>
      <c r="E722" s="6"/>
      <c r="F722" s="6"/>
      <c r="G722" s="6" t="str">
        <f>IFERROR(__xludf.DUMMYFUNCTION("""COMPUTED_VALUE"""),"")</f>
        <v/>
      </c>
      <c r="H722" s="6"/>
      <c r="I722" s="6"/>
      <c r="J722" s="6"/>
      <c r="K722" s="6"/>
      <c r="L722" s="6"/>
      <c r="M722" s="6"/>
      <c r="N722" s="6"/>
      <c r="O722" s="6"/>
      <c r="P722" s="6"/>
      <c r="Q722" s="6"/>
      <c r="R722" s="6"/>
      <c r="S722" s="6"/>
      <c r="T722" s="6"/>
      <c r="U722" s="6"/>
      <c r="V722" s="6"/>
      <c r="W722" s="6"/>
      <c r="X722" s="6"/>
    </row>
    <row r="723" hidden="1">
      <c r="A723" s="6"/>
      <c r="B723" s="6"/>
      <c r="C723" s="6"/>
      <c r="D723" s="6"/>
      <c r="E723" s="6"/>
      <c r="F723" s="6"/>
      <c r="G723" s="6" t="str">
        <f>IFERROR(__xludf.DUMMYFUNCTION("""COMPUTED_VALUE"""),"")</f>
        <v/>
      </c>
      <c r="H723" s="6"/>
      <c r="I723" s="6"/>
      <c r="J723" s="6"/>
      <c r="K723" s="6"/>
      <c r="L723" s="6"/>
      <c r="M723" s="6"/>
      <c r="N723" s="6"/>
      <c r="O723" s="6"/>
      <c r="P723" s="6"/>
      <c r="Q723" s="6"/>
      <c r="R723" s="6"/>
      <c r="S723" s="6"/>
      <c r="T723" s="6"/>
      <c r="U723" s="6"/>
      <c r="V723" s="6"/>
      <c r="W723" s="6"/>
      <c r="X723" s="6"/>
    </row>
    <row r="724" hidden="1">
      <c r="A724" s="6"/>
      <c r="B724" s="6"/>
      <c r="C724" s="6"/>
      <c r="D724" s="6"/>
      <c r="E724" s="6"/>
      <c r="F724" s="6"/>
      <c r="G724" s="6" t="str">
        <f>IFERROR(__xludf.DUMMYFUNCTION("""COMPUTED_VALUE"""),"")</f>
        <v/>
      </c>
      <c r="H724" s="6"/>
      <c r="I724" s="6"/>
      <c r="J724" s="6"/>
      <c r="K724" s="6"/>
      <c r="L724" s="6"/>
      <c r="M724" s="6"/>
      <c r="N724" s="6"/>
      <c r="O724" s="6"/>
      <c r="P724" s="6"/>
      <c r="Q724" s="6"/>
      <c r="R724" s="6"/>
      <c r="S724" s="6"/>
      <c r="T724" s="6"/>
      <c r="U724" s="6"/>
      <c r="V724" s="6"/>
      <c r="W724" s="6"/>
      <c r="X724" s="6"/>
    </row>
    <row r="725" hidden="1">
      <c r="A725" s="6"/>
      <c r="B725" s="6"/>
      <c r="C725" s="6"/>
      <c r="D725" s="6"/>
      <c r="E725" s="6"/>
      <c r="F725" s="6"/>
      <c r="G725" s="6" t="str">
        <f>IFERROR(__xludf.DUMMYFUNCTION("""COMPUTED_VALUE"""),"")</f>
        <v/>
      </c>
      <c r="H725" s="6"/>
      <c r="I725" s="6"/>
      <c r="J725" s="6"/>
      <c r="K725" s="6"/>
      <c r="L725" s="6"/>
      <c r="M725" s="6"/>
      <c r="N725" s="6"/>
      <c r="O725" s="6"/>
      <c r="P725" s="6"/>
      <c r="Q725" s="6"/>
      <c r="R725" s="6"/>
      <c r="S725" s="6"/>
      <c r="T725" s="6"/>
      <c r="U725" s="6"/>
      <c r="V725" s="6"/>
      <c r="W725" s="6"/>
      <c r="X725" s="6"/>
    </row>
    <row r="726" hidden="1">
      <c r="A726" s="6"/>
      <c r="B726" s="6"/>
      <c r="C726" s="6"/>
      <c r="D726" s="6"/>
      <c r="E726" s="6"/>
      <c r="F726" s="6"/>
      <c r="G726" s="6" t="str">
        <f>IFERROR(__xludf.DUMMYFUNCTION("""COMPUTED_VALUE"""),"")</f>
        <v/>
      </c>
      <c r="H726" s="6"/>
      <c r="I726" s="6"/>
      <c r="J726" s="6"/>
      <c r="K726" s="6"/>
      <c r="L726" s="6"/>
      <c r="M726" s="6"/>
      <c r="N726" s="6"/>
      <c r="O726" s="6"/>
      <c r="P726" s="6"/>
      <c r="Q726" s="6"/>
      <c r="R726" s="6"/>
      <c r="S726" s="6"/>
      <c r="T726" s="6"/>
      <c r="U726" s="6"/>
      <c r="V726" s="6"/>
      <c r="W726" s="6"/>
      <c r="X726" s="6"/>
    </row>
    <row r="727" hidden="1">
      <c r="A727" s="6"/>
      <c r="B727" s="6"/>
      <c r="C727" s="6"/>
      <c r="D727" s="6"/>
      <c r="E727" s="6"/>
      <c r="F727" s="6"/>
      <c r="G727" s="6" t="str">
        <f>IFERROR(__xludf.DUMMYFUNCTION("""COMPUTED_VALUE"""),"")</f>
        <v/>
      </c>
      <c r="H727" s="6"/>
      <c r="I727" s="6"/>
      <c r="J727" s="6"/>
      <c r="K727" s="6"/>
      <c r="L727" s="6"/>
      <c r="M727" s="6"/>
      <c r="N727" s="6"/>
      <c r="O727" s="6"/>
      <c r="P727" s="6"/>
      <c r="Q727" s="6"/>
      <c r="R727" s="6"/>
      <c r="S727" s="6"/>
      <c r="T727" s="6"/>
      <c r="U727" s="6"/>
      <c r="V727" s="6"/>
      <c r="W727" s="6"/>
      <c r="X727" s="6"/>
    </row>
    <row r="728" hidden="1">
      <c r="A728" s="6"/>
      <c r="B728" s="6"/>
      <c r="C728" s="6"/>
      <c r="D728" s="6"/>
      <c r="E728" s="6"/>
      <c r="F728" s="6"/>
      <c r="G728" s="6" t="str">
        <f>IFERROR(__xludf.DUMMYFUNCTION("""COMPUTED_VALUE"""),"")</f>
        <v/>
      </c>
      <c r="H728" s="6"/>
      <c r="I728" s="6"/>
      <c r="J728" s="6"/>
      <c r="K728" s="6"/>
      <c r="L728" s="6"/>
      <c r="M728" s="6"/>
      <c r="N728" s="6"/>
      <c r="O728" s="6"/>
      <c r="P728" s="6"/>
      <c r="Q728" s="6"/>
      <c r="R728" s="6"/>
      <c r="S728" s="6"/>
      <c r="T728" s="6"/>
      <c r="U728" s="6"/>
      <c r="V728" s="6"/>
      <c r="W728" s="6"/>
      <c r="X728" s="6"/>
    </row>
    <row r="729" hidden="1">
      <c r="A729" s="6"/>
      <c r="B729" s="6"/>
      <c r="C729" s="6"/>
      <c r="D729" s="6"/>
      <c r="E729" s="6"/>
      <c r="F729" s="6"/>
      <c r="G729" s="6" t="str">
        <f>IFERROR(__xludf.DUMMYFUNCTION("""COMPUTED_VALUE"""),"")</f>
        <v/>
      </c>
      <c r="H729" s="6"/>
      <c r="I729" s="6"/>
      <c r="J729" s="6"/>
      <c r="K729" s="6"/>
      <c r="L729" s="6"/>
      <c r="M729" s="6"/>
      <c r="N729" s="6"/>
      <c r="O729" s="6"/>
      <c r="P729" s="6"/>
      <c r="Q729" s="6"/>
      <c r="R729" s="6"/>
      <c r="S729" s="6"/>
      <c r="T729" s="6"/>
      <c r="U729" s="6"/>
      <c r="V729" s="6"/>
      <c r="W729" s="6"/>
      <c r="X729" s="6"/>
    </row>
    <row r="730" hidden="1">
      <c r="A730" s="6"/>
      <c r="B730" s="6"/>
      <c r="C730" s="6"/>
      <c r="D730" s="6"/>
      <c r="E730" s="6"/>
      <c r="F730" s="6"/>
      <c r="G730" s="6" t="str">
        <f>IFERROR(__xludf.DUMMYFUNCTION("""COMPUTED_VALUE"""),"")</f>
        <v/>
      </c>
      <c r="H730" s="6"/>
      <c r="I730" s="6"/>
      <c r="J730" s="6"/>
      <c r="K730" s="6"/>
      <c r="L730" s="6"/>
      <c r="M730" s="6"/>
      <c r="N730" s="6"/>
      <c r="O730" s="6"/>
      <c r="P730" s="6"/>
      <c r="Q730" s="6"/>
      <c r="R730" s="6"/>
      <c r="S730" s="6"/>
      <c r="T730" s="6"/>
      <c r="U730" s="6"/>
      <c r="V730" s="6"/>
      <c r="W730" s="6"/>
      <c r="X730" s="6"/>
    </row>
    <row r="731" hidden="1">
      <c r="A731" s="6"/>
      <c r="B731" s="6"/>
      <c r="C731" s="6"/>
      <c r="D731" s="6"/>
      <c r="E731" s="6"/>
      <c r="F731" s="6"/>
      <c r="G731" s="6" t="str">
        <f>IFERROR(__xludf.DUMMYFUNCTION("""COMPUTED_VALUE"""),"")</f>
        <v/>
      </c>
      <c r="H731" s="6"/>
      <c r="I731" s="6"/>
      <c r="J731" s="6"/>
      <c r="K731" s="6"/>
      <c r="L731" s="6"/>
      <c r="M731" s="6"/>
      <c r="N731" s="6"/>
      <c r="O731" s="6"/>
      <c r="P731" s="6"/>
      <c r="Q731" s="6"/>
      <c r="R731" s="6"/>
      <c r="S731" s="6"/>
      <c r="T731" s="6"/>
      <c r="U731" s="6"/>
      <c r="V731" s="6"/>
      <c r="W731" s="6"/>
      <c r="X731" s="6"/>
    </row>
    <row r="732" hidden="1">
      <c r="A732" s="6"/>
      <c r="B732" s="6"/>
      <c r="C732" s="6"/>
      <c r="D732" s="6"/>
      <c r="E732" s="6"/>
      <c r="F732" s="6"/>
      <c r="G732" s="6" t="str">
        <f>IFERROR(__xludf.DUMMYFUNCTION("""COMPUTED_VALUE"""),"")</f>
        <v/>
      </c>
      <c r="H732" s="6"/>
      <c r="I732" s="6"/>
      <c r="J732" s="6"/>
      <c r="K732" s="6"/>
      <c r="L732" s="6"/>
      <c r="M732" s="6"/>
      <c r="N732" s="6"/>
      <c r="O732" s="6"/>
      <c r="P732" s="6"/>
      <c r="Q732" s="6"/>
      <c r="R732" s="6"/>
      <c r="S732" s="6"/>
      <c r="T732" s="6"/>
      <c r="U732" s="6"/>
      <c r="V732" s="6"/>
      <c r="W732" s="6"/>
      <c r="X732" s="6"/>
    </row>
    <row r="733" hidden="1">
      <c r="A733" s="6"/>
      <c r="B733" s="6"/>
      <c r="C733" s="6"/>
      <c r="D733" s="6"/>
      <c r="E733" s="6"/>
      <c r="F733" s="6"/>
      <c r="G733" s="6" t="str">
        <f>IFERROR(__xludf.DUMMYFUNCTION("""COMPUTED_VALUE"""),"")</f>
        <v/>
      </c>
      <c r="H733" s="6"/>
      <c r="I733" s="6"/>
      <c r="J733" s="6"/>
      <c r="K733" s="6"/>
      <c r="L733" s="6"/>
      <c r="M733" s="6"/>
      <c r="N733" s="6"/>
      <c r="O733" s="6"/>
      <c r="P733" s="6"/>
      <c r="Q733" s="6"/>
      <c r="R733" s="6"/>
      <c r="S733" s="6"/>
      <c r="T733" s="6"/>
      <c r="U733" s="6"/>
      <c r="V733" s="6"/>
      <c r="W733" s="6"/>
      <c r="X733" s="6"/>
    </row>
    <row r="734" hidden="1">
      <c r="A734" s="6"/>
      <c r="B734" s="6"/>
      <c r="C734" s="6"/>
      <c r="D734" s="6"/>
      <c r="E734" s="6"/>
      <c r="F734" s="6"/>
      <c r="G734" s="6" t="str">
        <f>IFERROR(__xludf.DUMMYFUNCTION("""COMPUTED_VALUE"""),"")</f>
        <v/>
      </c>
      <c r="H734" s="6"/>
      <c r="I734" s="6"/>
      <c r="J734" s="6"/>
      <c r="K734" s="6"/>
      <c r="L734" s="6"/>
      <c r="M734" s="6"/>
      <c r="N734" s="6"/>
      <c r="O734" s="6"/>
      <c r="P734" s="6"/>
      <c r="Q734" s="6"/>
      <c r="R734" s="6"/>
      <c r="S734" s="6"/>
      <c r="T734" s="6"/>
      <c r="U734" s="6"/>
      <c r="V734" s="6"/>
      <c r="W734" s="6"/>
      <c r="X734" s="6"/>
    </row>
    <row r="735" hidden="1">
      <c r="A735" s="6"/>
      <c r="B735" s="6"/>
      <c r="C735" s="6"/>
      <c r="D735" s="6"/>
      <c r="E735" s="6"/>
      <c r="F735" s="6"/>
      <c r="G735" s="6" t="str">
        <f>IFERROR(__xludf.DUMMYFUNCTION("""COMPUTED_VALUE"""),"")</f>
        <v/>
      </c>
      <c r="H735" s="6"/>
      <c r="I735" s="6"/>
      <c r="J735" s="6"/>
      <c r="K735" s="6"/>
      <c r="L735" s="6"/>
      <c r="M735" s="6"/>
      <c r="N735" s="6"/>
      <c r="O735" s="6"/>
      <c r="P735" s="6"/>
      <c r="Q735" s="6"/>
      <c r="R735" s="6"/>
      <c r="S735" s="6"/>
      <c r="T735" s="6"/>
      <c r="U735" s="6"/>
      <c r="V735" s="6"/>
      <c r="W735" s="6"/>
      <c r="X735" s="6"/>
    </row>
    <row r="736" hidden="1">
      <c r="A736" s="6"/>
      <c r="B736" s="6"/>
      <c r="C736" s="6"/>
      <c r="D736" s="6"/>
      <c r="E736" s="6"/>
      <c r="F736" s="6"/>
      <c r="G736" s="6" t="str">
        <f>IFERROR(__xludf.DUMMYFUNCTION("""COMPUTED_VALUE"""),"")</f>
        <v/>
      </c>
      <c r="H736" s="6"/>
      <c r="I736" s="6"/>
      <c r="J736" s="6"/>
      <c r="K736" s="6"/>
      <c r="L736" s="6"/>
      <c r="M736" s="6"/>
      <c r="N736" s="6"/>
      <c r="O736" s="6"/>
      <c r="P736" s="6"/>
      <c r="Q736" s="6"/>
      <c r="R736" s="6"/>
      <c r="S736" s="6"/>
      <c r="T736" s="6"/>
      <c r="U736" s="6"/>
      <c r="V736" s="6"/>
      <c r="W736" s="6"/>
      <c r="X736" s="6"/>
    </row>
    <row r="737" hidden="1">
      <c r="A737" s="6"/>
      <c r="B737" s="6"/>
      <c r="C737" s="6"/>
      <c r="D737" s="6"/>
      <c r="E737" s="6"/>
      <c r="F737" s="6"/>
      <c r="G737" s="6" t="str">
        <f>IFERROR(__xludf.DUMMYFUNCTION("""COMPUTED_VALUE"""),"")</f>
        <v/>
      </c>
      <c r="H737" s="6"/>
      <c r="I737" s="6"/>
      <c r="J737" s="6"/>
      <c r="K737" s="6"/>
      <c r="L737" s="6"/>
      <c r="M737" s="6"/>
      <c r="N737" s="6"/>
      <c r="O737" s="6"/>
      <c r="P737" s="6"/>
      <c r="Q737" s="6"/>
      <c r="R737" s="6"/>
      <c r="S737" s="6"/>
      <c r="T737" s="6"/>
      <c r="U737" s="6"/>
      <c r="V737" s="6"/>
      <c r="W737" s="6"/>
      <c r="X737" s="6"/>
    </row>
    <row r="738" hidden="1">
      <c r="A738" s="6"/>
      <c r="B738" s="6"/>
      <c r="C738" s="6"/>
      <c r="D738" s="6"/>
      <c r="E738" s="6"/>
      <c r="F738" s="6"/>
      <c r="G738" s="6" t="str">
        <f>IFERROR(__xludf.DUMMYFUNCTION("""COMPUTED_VALUE"""),"")</f>
        <v/>
      </c>
      <c r="H738" s="6"/>
      <c r="I738" s="6"/>
      <c r="J738" s="6"/>
      <c r="K738" s="6"/>
      <c r="L738" s="6"/>
      <c r="M738" s="6"/>
      <c r="N738" s="6"/>
      <c r="O738" s="6"/>
      <c r="P738" s="6"/>
      <c r="Q738" s="6"/>
      <c r="R738" s="6"/>
      <c r="S738" s="6"/>
      <c r="T738" s="6"/>
      <c r="U738" s="6"/>
      <c r="V738" s="6"/>
      <c r="W738" s="6"/>
      <c r="X738" s="6"/>
    </row>
    <row r="739" hidden="1">
      <c r="A739" s="6"/>
      <c r="B739" s="6"/>
      <c r="C739" s="6"/>
      <c r="D739" s="6"/>
      <c r="E739" s="6"/>
      <c r="F739" s="6"/>
      <c r="G739" s="6" t="str">
        <f>IFERROR(__xludf.DUMMYFUNCTION("""COMPUTED_VALUE"""),"")</f>
        <v/>
      </c>
      <c r="H739" s="6"/>
      <c r="I739" s="6"/>
      <c r="J739" s="6"/>
      <c r="K739" s="6"/>
      <c r="L739" s="6"/>
      <c r="M739" s="6"/>
      <c r="N739" s="6"/>
      <c r="O739" s="6"/>
      <c r="P739" s="6"/>
      <c r="Q739" s="6"/>
      <c r="R739" s="6"/>
      <c r="S739" s="6"/>
      <c r="T739" s="6"/>
      <c r="U739" s="6"/>
      <c r="V739" s="6"/>
      <c r="W739" s="6"/>
      <c r="X739" s="6"/>
    </row>
    <row r="740" hidden="1">
      <c r="A740" s="6"/>
      <c r="B740" s="6"/>
      <c r="C740" s="6"/>
      <c r="D740" s="6"/>
      <c r="E740" s="6"/>
      <c r="F740" s="6"/>
      <c r="G740" s="6" t="str">
        <f>IFERROR(__xludf.DUMMYFUNCTION("""COMPUTED_VALUE"""),"")</f>
        <v/>
      </c>
      <c r="H740" s="6"/>
      <c r="I740" s="6"/>
      <c r="J740" s="6"/>
      <c r="K740" s="6"/>
      <c r="L740" s="6"/>
      <c r="M740" s="6"/>
      <c r="N740" s="6"/>
      <c r="O740" s="6"/>
      <c r="P740" s="6"/>
      <c r="Q740" s="6"/>
      <c r="R740" s="6"/>
      <c r="S740" s="6"/>
      <c r="T740" s="6"/>
      <c r="U740" s="6"/>
      <c r="V740" s="6"/>
      <c r="W740" s="6"/>
      <c r="X740" s="6"/>
    </row>
    <row r="741" hidden="1">
      <c r="A741" s="6"/>
      <c r="B741" s="6"/>
      <c r="C741" s="6"/>
      <c r="D741" s="6"/>
      <c r="E741" s="6"/>
      <c r="F741" s="6"/>
      <c r="G741" s="6" t="str">
        <f>IFERROR(__xludf.DUMMYFUNCTION("""COMPUTED_VALUE"""),"")</f>
        <v/>
      </c>
      <c r="H741" s="6"/>
      <c r="I741" s="6"/>
      <c r="J741" s="6"/>
      <c r="K741" s="6"/>
      <c r="L741" s="6"/>
      <c r="M741" s="6"/>
      <c r="N741" s="6"/>
      <c r="O741" s="6"/>
      <c r="P741" s="6"/>
      <c r="Q741" s="6"/>
      <c r="R741" s="6"/>
      <c r="S741" s="6"/>
      <c r="T741" s="6"/>
      <c r="U741" s="6"/>
      <c r="V741" s="6"/>
      <c r="W741" s="6"/>
      <c r="X741" s="6"/>
    </row>
    <row r="742" hidden="1">
      <c r="A742" s="6"/>
      <c r="B742" s="6"/>
      <c r="C742" s="6"/>
      <c r="D742" s="6"/>
      <c r="E742" s="6"/>
      <c r="F742" s="6"/>
      <c r="G742" s="6" t="str">
        <f>IFERROR(__xludf.DUMMYFUNCTION("""COMPUTED_VALUE"""),"")</f>
        <v/>
      </c>
      <c r="H742" s="6"/>
      <c r="I742" s="6"/>
      <c r="J742" s="6"/>
      <c r="K742" s="6"/>
      <c r="L742" s="6"/>
      <c r="M742" s="6"/>
      <c r="N742" s="6"/>
      <c r="O742" s="6"/>
      <c r="P742" s="6"/>
      <c r="Q742" s="6"/>
      <c r="R742" s="6"/>
      <c r="S742" s="6"/>
      <c r="T742" s="6"/>
      <c r="U742" s="6"/>
      <c r="V742" s="6"/>
      <c r="W742" s="6"/>
      <c r="X742" s="6"/>
    </row>
    <row r="743" hidden="1">
      <c r="A743" s="6"/>
      <c r="B743" s="6"/>
      <c r="C743" s="6"/>
      <c r="D743" s="6"/>
      <c r="E743" s="6"/>
      <c r="F743" s="6"/>
      <c r="G743" s="6" t="str">
        <f>IFERROR(__xludf.DUMMYFUNCTION("""COMPUTED_VALUE"""),"")</f>
        <v/>
      </c>
      <c r="H743" s="6"/>
      <c r="I743" s="6"/>
      <c r="J743" s="6"/>
      <c r="K743" s="6"/>
      <c r="L743" s="6"/>
      <c r="M743" s="6"/>
      <c r="N743" s="6"/>
      <c r="O743" s="6"/>
      <c r="P743" s="6"/>
      <c r="Q743" s="6"/>
      <c r="R743" s="6"/>
      <c r="S743" s="6"/>
      <c r="T743" s="6"/>
      <c r="U743" s="6"/>
      <c r="V743" s="6"/>
      <c r="W743" s="6"/>
      <c r="X743" s="6"/>
    </row>
    <row r="744" hidden="1">
      <c r="A744" s="6"/>
      <c r="B744" s="6"/>
      <c r="C744" s="6"/>
      <c r="D744" s="6"/>
      <c r="E744" s="6"/>
      <c r="F744" s="6"/>
      <c r="G744" s="6" t="str">
        <f>IFERROR(__xludf.DUMMYFUNCTION("""COMPUTED_VALUE"""),"")</f>
        <v/>
      </c>
      <c r="H744" s="6"/>
      <c r="I744" s="6"/>
      <c r="J744" s="6"/>
      <c r="K744" s="6"/>
      <c r="L744" s="6"/>
      <c r="M744" s="6"/>
      <c r="N744" s="6"/>
      <c r="O744" s="6"/>
      <c r="P744" s="6"/>
      <c r="Q744" s="6"/>
      <c r="R744" s="6"/>
      <c r="S744" s="6"/>
      <c r="T744" s="6"/>
      <c r="U744" s="6"/>
      <c r="V744" s="6"/>
      <c r="W744" s="6"/>
      <c r="X744" s="6"/>
    </row>
    <row r="745" hidden="1">
      <c r="A745" s="6"/>
      <c r="B745" s="6"/>
      <c r="C745" s="6"/>
      <c r="D745" s="6"/>
      <c r="E745" s="6"/>
      <c r="F745" s="6"/>
      <c r="G745" s="6" t="str">
        <f>IFERROR(__xludf.DUMMYFUNCTION("""COMPUTED_VALUE"""),"")</f>
        <v/>
      </c>
      <c r="H745" s="6"/>
      <c r="I745" s="6"/>
      <c r="J745" s="6"/>
      <c r="K745" s="6"/>
      <c r="L745" s="6"/>
      <c r="M745" s="6"/>
      <c r="N745" s="6"/>
      <c r="O745" s="6"/>
      <c r="P745" s="6"/>
      <c r="Q745" s="6"/>
      <c r="R745" s="6"/>
      <c r="S745" s="6"/>
      <c r="T745" s="6"/>
      <c r="U745" s="6"/>
      <c r="V745" s="6"/>
      <c r="W745" s="6"/>
      <c r="X745" s="6"/>
    </row>
    <row r="746" hidden="1">
      <c r="A746" s="6"/>
      <c r="B746" s="6"/>
      <c r="C746" s="6"/>
      <c r="D746" s="6"/>
      <c r="E746" s="6"/>
      <c r="F746" s="6"/>
      <c r="G746" s="6" t="str">
        <f>IFERROR(__xludf.DUMMYFUNCTION("""COMPUTED_VALUE"""),"")</f>
        <v/>
      </c>
      <c r="H746" s="6"/>
      <c r="I746" s="6"/>
      <c r="J746" s="6"/>
      <c r="K746" s="6"/>
      <c r="L746" s="6"/>
      <c r="M746" s="6"/>
      <c r="N746" s="6"/>
      <c r="O746" s="6"/>
      <c r="P746" s="6"/>
      <c r="Q746" s="6"/>
      <c r="R746" s="6"/>
      <c r="S746" s="6"/>
      <c r="T746" s="6"/>
      <c r="U746" s="6"/>
      <c r="V746" s="6"/>
      <c r="W746" s="6"/>
      <c r="X746" s="6"/>
    </row>
    <row r="747" hidden="1">
      <c r="A747" s="6"/>
      <c r="B747" s="6"/>
      <c r="C747" s="6"/>
      <c r="D747" s="6"/>
      <c r="E747" s="6"/>
      <c r="F747" s="6"/>
      <c r="G747" s="6" t="str">
        <f>IFERROR(__xludf.DUMMYFUNCTION("""COMPUTED_VALUE"""),"")</f>
        <v/>
      </c>
      <c r="H747" s="6"/>
      <c r="I747" s="6"/>
      <c r="J747" s="6"/>
      <c r="K747" s="6"/>
      <c r="L747" s="6"/>
      <c r="M747" s="6"/>
      <c r="N747" s="6"/>
      <c r="O747" s="6"/>
      <c r="P747" s="6"/>
      <c r="Q747" s="6"/>
      <c r="R747" s="6"/>
      <c r="S747" s="6"/>
      <c r="T747" s="6"/>
      <c r="U747" s="6"/>
      <c r="V747" s="6"/>
      <c r="W747" s="6"/>
      <c r="X747" s="6"/>
    </row>
    <row r="748" hidden="1">
      <c r="A748" s="6"/>
      <c r="B748" s="6"/>
      <c r="C748" s="6"/>
      <c r="D748" s="6"/>
      <c r="E748" s="6"/>
      <c r="F748" s="6"/>
      <c r="G748" s="6" t="str">
        <f>IFERROR(__xludf.DUMMYFUNCTION("""COMPUTED_VALUE"""),"")</f>
        <v/>
      </c>
      <c r="H748" s="6"/>
      <c r="I748" s="6"/>
      <c r="J748" s="6"/>
      <c r="K748" s="6"/>
      <c r="L748" s="6"/>
      <c r="M748" s="6"/>
      <c r="N748" s="6"/>
      <c r="O748" s="6"/>
      <c r="P748" s="6"/>
      <c r="Q748" s="6"/>
      <c r="R748" s="6"/>
      <c r="S748" s="6"/>
      <c r="T748" s="6"/>
      <c r="U748" s="6"/>
      <c r="V748" s="6"/>
      <c r="W748" s="6"/>
      <c r="X748" s="6"/>
    </row>
    <row r="749" hidden="1">
      <c r="A749" s="6"/>
      <c r="B749" s="6"/>
      <c r="C749" s="6"/>
      <c r="D749" s="6"/>
      <c r="E749" s="6"/>
      <c r="F749" s="6"/>
      <c r="G749" s="6" t="str">
        <f>IFERROR(__xludf.DUMMYFUNCTION("""COMPUTED_VALUE"""),"")</f>
        <v/>
      </c>
      <c r="H749" s="6"/>
      <c r="I749" s="6"/>
      <c r="J749" s="6"/>
      <c r="K749" s="6"/>
      <c r="L749" s="6"/>
      <c r="M749" s="6"/>
      <c r="N749" s="6"/>
      <c r="O749" s="6"/>
      <c r="P749" s="6"/>
      <c r="Q749" s="6"/>
      <c r="R749" s="6"/>
      <c r="S749" s="6"/>
      <c r="T749" s="6"/>
      <c r="U749" s="6"/>
      <c r="V749" s="6"/>
      <c r="W749" s="6"/>
      <c r="X749" s="6"/>
    </row>
    <row r="750" hidden="1">
      <c r="A750" s="6"/>
      <c r="B750" s="6"/>
      <c r="C750" s="6"/>
      <c r="D750" s="6"/>
      <c r="E750" s="6"/>
      <c r="F750" s="6"/>
      <c r="G750" s="6" t="str">
        <f>IFERROR(__xludf.DUMMYFUNCTION("""COMPUTED_VALUE"""),"")</f>
        <v/>
      </c>
      <c r="H750" s="6"/>
      <c r="I750" s="6"/>
      <c r="J750" s="6"/>
      <c r="K750" s="6"/>
      <c r="L750" s="6"/>
      <c r="M750" s="6"/>
      <c r="N750" s="6"/>
      <c r="O750" s="6"/>
      <c r="P750" s="6"/>
      <c r="Q750" s="6"/>
      <c r="R750" s="6"/>
      <c r="S750" s="6"/>
      <c r="T750" s="6"/>
      <c r="U750" s="6"/>
      <c r="V750" s="6"/>
      <c r="W750" s="6"/>
      <c r="X750" s="6"/>
    </row>
    <row r="751" hidden="1">
      <c r="A751" s="6"/>
      <c r="B751" s="6"/>
      <c r="C751" s="6"/>
      <c r="D751" s="6"/>
      <c r="E751" s="6"/>
      <c r="F751" s="6"/>
      <c r="G751" s="6" t="str">
        <f>IFERROR(__xludf.DUMMYFUNCTION("""COMPUTED_VALUE"""),"")</f>
        <v/>
      </c>
      <c r="H751" s="6"/>
      <c r="I751" s="6"/>
      <c r="J751" s="6"/>
      <c r="K751" s="6"/>
      <c r="L751" s="6"/>
      <c r="M751" s="6"/>
      <c r="N751" s="6"/>
      <c r="O751" s="6"/>
      <c r="P751" s="6"/>
      <c r="Q751" s="6"/>
      <c r="R751" s="6"/>
      <c r="S751" s="6"/>
      <c r="T751" s="6"/>
      <c r="U751" s="6"/>
      <c r="V751" s="6"/>
      <c r="W751" s="6"/>
      <c r="X751" s="6"/>
    </row>
    <row r="752" hidden="1">
      <c r="A752" s="6"/>
      <c r="B752" s="6"/>
      <c r="C752" s="6"/>
      <c r="D752" s="6"/>
      <c r="E752" s="6"/>
      <c r="F752" s="6"/>
      <c r="G752" s="6" t="str">
        <f>IFERROR(__xludf.DUMMYFUNCTION("""COMPUTED_VALUE"""),"")</f>
        <v/>
      </c>
      <c r="H752" s="6"/>
      <c r="I752" s="6"/>
      <c r="J752" s="6"/>
      <c r="K752" s="6"/>
      <c r="L752" s="6"/>
      <c r="M752" s="6"/>
      <c r="N752" s="6"/>
      <c r="O752" s="6"/>
      <c r="P752" s="6"/>
      <c r="Q752" s="6"/>
      <c r="R752" s="6"/>
      <c r="S752" s="6"/>
      <c r="T752" s="6"/>
      <c r="U752" s="6"/>
      <c r="V752" s="6"/>
      <c r="W752" s="6"/>
      <c r="X752" s="6"/>
    </row>
    <row r="753" hidden="1">
      <c r="A753" s="6"/>
      <c r="B753" s="6"/>
      <c r="C753" s="6"/>
      <c r="D753" s="6"/>
      <c r="E753" s="6"/>
      <c r="F753" s="6"/>
      <c r="G753" s="6" t="str">
        <f>IFERROR(__xludf.DUMMYFUNCTION("""COMPUTED_VALUE"""),"")</f>
        <v/>
      </c>
      <c r="H753" s="6"/>
      <c r="I753" s="6"/>
      <c r="J753" s="6"/>
      <c r="K753" s="6"/>
      <c r="L753" s="6"/>
      <c r="M753" s="6"/>
      <c r="N753" s="6"/>
      <c r="O753" s="6"/>
      <c r="P753" s="6"/>
      <c r="Q753" s="6"/>
      <c r="R753" s="6"/>
      <c r="S753" s="6"/>
      <c r="T753" s="6"/>
      <c r="U753" s="6"/>
      <c r="V753" s="6"/>
      <c r="W753" s="6"/>
      <c r="X753" s="6"/>
    </row>
    <row r="754" hidden="1">
      <c r="A754" s="6"/>
      <c r="B754" s="6"/>
      <c r="C754" s="6"/>
      <c r="D754" s="6"/>
      <c r="E754" s="6"/>
      <c r="F754" s="6"/>
      <c r="G754" s="6" t="str">
        <f>IFERROR(__xludf.DUMMYFUNCTION("""COMPUTED_VALUE"""),"")</f>
        <v/>
      </c>
      <c r="H754" s="6"/>
      <c r="I754" s="6"/>
      <c r="J754" s="6"/>
      <c r="K754" s="6"/>
      <c r="L754" s="6"/>
      <c r="M754" s="6"/>
      <c r="N754" s="6"/>
      <c r="O754" s="6"/>
      <c r="P754" s="6"/>
      <c r="Q754" s="6"/>
      <c r="R754" s="6"/>
      <c r="S754" s="6"/>
      <c r="T754" s="6"/>
      <c r="U754" s="6"/>
      <c r="V754" s="6"/>
      <c r="W754" s="6"/>
      <c r="X754" s="6"/>
    </row>
    <row r="755" hidden="1">
      <c r="A755" s="6"/>
      <c r="B755" s="6"/>
      <c r="C755" s="6"/>
      <c r="D755" s="6"/>
      <c r="E755" s="6"/>
      <c r="F755" s="6"/>
      <c r="G755" s="6" t="str">
        <f>IFERROR(__xludf.DUMMYFUNCTION("""COMPUTED_VALUE"""),"")</f>
        <v/>
      </c>
      <c r="H755" s="6"/>
      <c r="I755" s="6"/>
      <c r="J755" s="6"/>
      <c r="K755" s="6"/>
      <c r="L755" s="6"/>
      <c r="M755" s="6"/>
      <c r="N755" s="6"/>
      <c r="O755" s="6"/>
      <c r="P755" s="6"/>
      <c r="Q755" s="6"/>
      <c r="R755" s="6"/>
      <c r="S755" s="6"/>
      <c r="T755" s="6"/>
      <c r="U755" s="6"/>
      <c r="V755" s="6"/>
      <c r="W755" s="6"/>
      <c r="X755" s="6"/>
    </row>
    <row r="756" hidden="1">
      <c r="A756" s="6"/>
      <c r="B756" s="6"/>
      <c r="C756" s="6"/>
      <c r="D756" s="6"/>
      <c r="E756" s="6"/>
      <c r="F756" s="6"/>
      <c r="G756" s="6" t="str">
        <f>IFERROR(__xludf.DUMMYFUNCTION("""COMPUTED_VALUE"""),"")</f>
        <v/>
      </c>
      <c r="H756" s="6"/>
      <c r="I756" s="6"/>
      <c r="J756" s="6"/>
      <c r="K756" s="6"/>
      <c r="L756" s="6"/>
      <c r="M756" s="6"/>
      <c r="N756" s="6"/>
      <c r="O756" s="6"/>
      <c r="P756" s="6"/>
      <c r="Q756" s="6"/>
      <c r="R756" s="6"/>
      <c r="S756" s="6"/>
      <c r="T756" s="6"/>
      <c r="U756" s="6"/>
      <c r="V756" s="6"/>
      <c r="W756" s="6"/>
      <c r="X756" s="6"/>
    </row>
    <row r="757" hidden="1">
      <c r="A757" s="6"/>
      <c r="B757" s="6"/>
      <c r="C757" s="6"/>
      <c r="D757" s="6"/>
      <c r="E757" s="6"/>
      <c r="F757" s="6"/>
      <c r="G757" s="6" t="str">
        <f>IFERROR(__xludf.DUMMYFUNCTION("""COMPUTED_VALUE"""),"")</f>
        <v/>
      </c>
      <c r="H757" s="6"/>
      <c r="I757" s="6"/>
      <c r="J757" s="6"/>
      <c r="K757" s="6"/>
      <c r="L757" s="6"/>
      <c r="M757" s="6"/>
      <c r="N757" s="6"/>
      <c r="O757" s="6"/>
      <c r="P757" s="6"/>
      <c r="Q757" s="6"/>
      <c r="R757" s="6"/>
      <c r="S757" s="6"/>
      <c r="T757" s="6"/>
      <c r="U757" s="6"/>
      <c r="V757" s="6"/>
      <c r="W757" s="6"/>
      <c r="X757" s="6"/>
    </row>
    <row r="758" hidden="1">
      <c r="A758" s="6"/>
      <c r="B758" s="6"/>
      <c r="C758" s="6"/>
      <c r="D758" s="6"/>
      <c r="E758" s="6"/>
      <c r="F758" s="6"/>
      <c r="G758" s="6" t="str">
        <f>IFERROR(__xludf.DUMMYFUNCTION("""COMPUTED_VALUE"""),"")</f>
        <v/>
      </c>
      <c r="H758" s="6"/>
      <c r="I758" s="6"/>
      <c r="J758" s="6"/>
      <c r="K758" s="6"/>
      <c r="L758" s="6"/>
      <c r="M758" s="6"/>
      <c r="N758" s="6"/>
      <c r="O758" s="6"/>
      <c r="P758" s="6"/>
      <c r="Q758" s="6"/>
      <c r="R758" s="6"/>
      <c r="S758" s="6"/>
      <c r="T758" s="6"/>
      <c r="U758" s="6"/>
      <c r="V758" s="6"/>
      <c r="W758" s="6"/>
      <c r="X758" s="6"/>
    </row>
    <row r="759" hidden="1">
      <c r="A759" s="6"/>
      <c r="B759" s="6"/>
      <c r="C759" s="6"/>
      <c r="D759" s="6"/>
      <c r="E759" s="6"/>
      <c r="F759" s="6"/>
      <c r="G759" s="6" t="str">
        <f>IFERROR(__xludf.DUMMYFUNCTION("""COMPUTED_VALUE"""),"")</f>
        <v/>
      </c>
      <c r="H759" s="6"/>
      <c r="I759" s="6"/>
      <c r="J759" s="6"/>
      <c r="K759" s="6"/>
      <c r="L759" s="6"/>
      <c r="M759" s="6"/>
      <c r="N759" s="6"/>
      <c r="O759" s="6"/>
      <c r="P759" s="6"/>
      <c r="Q759" s="6"/>
      <c r="R759" s="6"/>
      <c r="S759" s="6"/>
      <c r="T759" s="6"/>
      <c r="U759" s="6"/>
      <c r="V759" s="6"/>
      <c r="W759" s="6"/>
      <c r="X759" s="6"/>
    </row>
    <row r="760" hidden="1">
      <c r="A760" s="6"/>
      <c r="B760" s="6"/>
      <c r="C760" s="6"/>
      <c r="D760" s="6"/>
      <c r="E760" s="6"/>
      <c r="F760" s="6"/>
      <c r="G760" s="6" t="str">
        <f>IFERROR(__xludf.DUMMYFUNCTION("""COMPUTED_VALUE"""),"")</f>
        <v/>
      </c>
      <c r="H760" s="6"/>
      <c r="I760" s="6"/>
      <c r="J760" s="6"/>
      <c r="K760" s="6"/>
      <c r="L760" s="6"/>
      <c r="M760" s="6"/>
      <c r="N760" s="6"/>
      <c r="O760" s="6"/>
      <c r="P760" s="6"/>
      <c r="Q760" s="6"/>
      <c r="R760" s="6"/>
      <c r="S760" s="6"/>
      <c r="T760" s="6"/>
      <c r="U760" s="6"/>
      <c r="V760" s="6"/>
      <c r="W760" s="6"/>
      <c r="X760" s="6"/>
    </row>
    <row r="761" hidden="1">
      <c r="A761" s="6"/>
      <c r="B761" s="6"/>
      <c r="C761" s="6"/>
      <c r="D761" s="6"/>
      <c r="E761" s="6"/>
      <c r="F761" s="6"/>
      <c r="G761" s="6" t="str">
        <f>IFERROR(__xludf.DUMMYFUNCTION("""COMPUTED_VALUE"""),"")</f>
        <v/>
      </c>
      <c r="H761" s="6"/>
      <c r="I761" s="6"/>
      <c r="J761" s="6"/>
      <c r="K761" s="6"/>
      <c r="L761" s="6"/>
      <c r="M761" s="6"/>
      <c r="N761" s="6"/>
      <c r="O761" s="6"/>
      <c r="P761" s="6"/>
      <c r="Q761" s="6"/>
      <c r="R761" s="6"/>
      <c r="S761" s="6"/>
      <c r="T761" s="6"/>
      <c r="U761" s="6"/>
      <c r="V761" s="6"/>
      <c r="W761" s="6"/>
      <c r="X761" s="6"/>
    </row>
    <row r="762" hidden="1">
      <c r="A762" s="6"/>
      <c r="B762" s="6"/>
      <c r="C762" s="6"/>
      <c r="D762" s="6"/>
      <c r="E762" s="6"/>
      <c r="F762" s="6"/>
      <c r="G762" s="6" t="str">
        <f>IFERROR(__xludf.DUMMYFUNCTION("""COMPUTED_VALUE"""),"")</f>
        <v/>
      </c>
      <c r="H762" s="6"/>
      <c r="I762" s="6"/>
      <c r="J762" s="6"/>
      <c r="K762" s="6"/>
      <c r="L762" s="6"/>
      <c r="M762" s="6"/>
      <c r="N762" s="6"/>
      <c r="O762" s="6"/>
      <c r="P762" s="6"/>
      <c r="Q762" s="6"/>
      <c r="R762" s="6"/>
      <c r="S762" s="6"/>
      <c r="T762" s="6"/>
      <c r="U762" s="6"/>
      <c r="V762" s="6"/>
      <c r="W762" s="6"/>
      <c r="X762" s="6"/>
    </row>
    <row r="763" hidden="1">
      <c r="A763" s="6"/>
      <c r="B763" s="6"/>
      <c r="C763" s="6"/>
      <c r="D763" s="6"/>
      <c r="E763" s="6"/>
      <c r="F763" s="6"/>
      <c r="G763" s="6" t="str">
        <f>IFERROR(__xludf.DUMMYFUNCTION("""COMPUTED_VALUE"""),"")</f>
        <v/>
      </c>
      <c r="H763" s="6"/>
      <c r="I763" s="6"/>
      <c r="J763" s="6"/>
      <c r="K763" s="6"/>
      <c r="L763" s="6"/>
      <c r="M763" s="6"/>
      <c r="N763" s="6"/>
      <c r="O763" s="6"/>
      <c r="P763" s="6"/>
      <c r="Q763" s="6"/>
      <c r="R763" s="6"/>
      <c r="S763" s="6"/>
      <c r="T763" s="6"/>
      <c r="U763" s="6"/>
      <c r="V763" s="6"/>
      <c r="W763" s="6"/>
      <c r="X763" s="6"/>
    </row>
    <row r="764" hidden="1">
      <c r="A764" s="6"/>
      <c r="B764" s="6"/>
      <c r="C764" s="6"/>
      <c r="D764" s="6"/>
      <c r="E764" s="6"/>
      <c r="F764" s="6"/>
      <c r="G764" s="6" t="str">
        <f>IFERROR(__xludf.DUMMYFUNCTION("""COMPUTED_VALUE"""),"")</f>
        <v/>
      </c>
      <c r="H764" s="6"/>
      <c r="I764" s="6"/>
      <c r="J764" s="6"/>
      <c r="K764" s="6"/>
      <c r="L764" s="6"/>
      <c r="M764" s="6"/>
      <c r="N764" s="6"/>
      <c r="O764" s="6"/>
      <c r="P764" s="6"/>
      <c r="Q764" s="6"/>
      <c r="R764" s="6"/>
      <c r="S764" s="6"/>
      <c r="T764" s="6"/>
      <c r="U764" s="6"/>
      <c r="V764" s="6"/>
      <c r="W764" s="6"/>
      <c r="X764" s="6"/>
    </row>
    <row r="765" hidden="1">
      <c r="A765" s="6"/>
      <c r="B765" s="6"/>
      <c r="C765" s="6"/>
      <c r="D765" s="6"/>
      <c r="E765" s="6"/>
      <c r="F765" s="6"/>
      <c r="G765" s="6" t="str">
        <f>IFERROR(__xludf.DUMMYFUNCTION("""COMPUTED_VALUE"""),"")</f>
        <v/>
      </c>
      <c r="H765" s="6"/>
      <c r="I765" s="6"/>
      <c r="J765" s="6"/>
      <c r="K765" s="6"/>
      <c r="L765" s="6"/>
      <c r="M765" s="6"/>
      <c r="N765" s="6"/>
      <c r="O765" s="6"/>
      <c r="P765" s="6"/>
      <c r="Q765" s="6"/>
      <c r="R765" s="6"/>
      <c r="S765" s="6"/>
      <c r="T765" s="6"/>
      <c r="U765" s="6"/>
      <c r="V765" s="6"/>
      <c r="W765" s="6"/>
      <c r="X765" s="6"/>
    </row>
    <row r="766" hidden="1">
      <c r="A766" s="6"/>
      <c r="B766" s="6"/>
      <c r="C766" s="6"/>
      <c r="D766" s="6"/>
      <c r="E766" s="6"/>
      <c r="F766" s="6"/>
      <c r="G766" s="6" t="str">
        <f>IFERROR(__xludf.DUMMYFUNCTION("""COMPUTED_VALUE"""),"")</f>
        <v/>
      </c>
      <c r="H766" s="6"/>
      <c r="I766" s="6"/>
      <c r="J766" s="6"/>
      <c r="K766" s="6"/>
      <c r="L766" s="6"/>
      <c r="M766" s="6"/>
      <c r="N766" s="6"/>
      <c r="O766" s="6"/>
      <c r="P766" s="6"/>
      <c r="Q766" s="6"/>
      <c r="R766" s="6"/>
      <c r="S766" s="6"/>
      <c r="T766" s="6"/>
      <c r="U766" s="6"/>
      <c r="V766" s="6"/>
      <c r="W766" s="6"/>
      <c r="X766" s="6"/>
    </row>
    <row r="767" hidden="1">
      <c r="A767" s="6"/>
      <c r="B767" s="6"/>
      <c r="C767" s="6"/>
      <c r="D767" s="6"/>
      <c r="E767" s="6"/>
      <c r="F767" s="6"/>
      <c r="G767" s="6" t="str">
        <f>IFERROR(__xludf.DUMMYFUNCTION("""COMPUTED_VALUE"""),"")</f>
        <v/>
      </c>
      <c r="H767" s="6"/>
      <c r="I767" s="6"/>
      <c r="J767" s="6"/>
      <c r="K767" s="6"/>
      <c r="L767" s="6"/>
      <c r="M767" s="6"/>
      <c r="N767" s="6"/>
      <c r="O767" s="6"/>
      <c r="P767" s="6"/>
      <c r="Q767" s="6"/>
      <c r="R767" s="6"/>
      <c r="S767" s="6"/>
      <c r="T767" s="6"/>
      <c r="U767" s="6"/>
      <c r="V767" s="6"/>
      <c r="W767" s="6"/>
      <c r="X767" s="6"/>
    </row>
    <row r="768" hidden="1">
      <c r="A768" s="6"/>
      <c r="B768" s="6"/>
      <c r="C768" s="6"/>
      <c r="D768" s="6"/>
      <c r="E768" s="6"/>
      <c r="F768" s="6"/>
      <c r="G768" s="6" t="str">
        <f>IFERROR(__xludf.DUMMYFUNCTION("""COMPUTED_VALUE"""),"")</f>
        <v/>
      </c>
      <c r="H768" s="6"/>
      <c r="I768" s="6"/>
      <c r="J768" s="6"/>
      <c r="K768" s="6"/>
      <c r="L768" s="6"/>
      <c r="M768" s="6"/>
      <c r="N768" s="6"/>
      <c r="O768" s="6"/>
      <c r="P768" s="6"/>
      <c r="Q768" s="6"/>
      <c r="R768" s="6"/>
      <c r="S768" s="6"/>
      <c r="T768" s="6"/>
      <c r="U768" s="6"/>
      <c r="V768" s="6"/>
      <c r="W768" s="6"/>
      <c r="X768" s="6"/>
    </row>
    <row r="769" hidden="1">
      <c r="A769" s="6"/>
      <c r="B769" s="6"/>
      <c r="C769" s="6"/>
      <c r="D769" s="6"/>
      <c r="E769" s="6"/>
      <c r="F769" s="6"/>
      <c r="G769" s="6" t="str">
        <f>IFERROR(__xludf.DUMMYFUNCTION("""COMPUTED_VALUE"""),"")</f>
        <v/>
      </c>
      <c r="H769" s="6"/>
      <c r="I769" s="6"/>
      <c r="J769" s="6"/>
      <c r="K769" s="6"/>
      <c r="L769" s="6"/>
      <c r="M769" s="6"/>
      <c r="N769" s="6"/>
      <c r="O769" s="6"/>
      <c r="P769" s="6"/>
      <c r="Q769" s="6"/>
      <c r="R769" s="6"/>
      <c r="S769" s="6"/>
      <c r="T769" s="6"/>
      <c r="U769" s="6"/>
      <c r="V769" s="6"/>
      <c r="W769" s="6"/>
      <c r="X769" s="6"/>
    </row>
    <row r="770" hidden="1">
      <c r="A770" s="6"/>
      <c r="B770" s="6"/>
      <c r="C770" s="6"/>
      <c r="D770" s="6"/>
      <c r="E770" s="6"/>
      <c r="F770" s="6"/>
      <c r="G770" s="6" t="str">
        <f>IFERROR(__xludf.DUMMYFUNCTION("""COMPUTED_VALUE"""),"")</f>
        <v/>
      </c>
      <c r="H770" s="6"/>
      <c r="I770" s="6"/>
      <c r="J770" s="6"/>
      <c r="K770" s="6"/>
      <c r="L770" s="6"/>
      <c r="M770" s="6"/>
      <c r="N770" s="6"/>
      <c r="O770" s="6"/>
      <c r="P770" s="6"/>
      <c r="Q770" s="6"/>
      <c r="R770" s="6"/>
      <c r="S770" s="6"/>
      <c r="T770" s="6"/>
      <c r="U770" s="6"/>
      <c r="V770" s="6"/>
      <c r="W770" s="6"/>
      <c r="X770" s="6"/>
    </row>
    <row r="771" hidden="1">
      <c r="A771" s="6"/>
      <c r="B771" s="6"/>
      <c r="C771" s="6"/>
      <c r="D771" s="6"/>
      <c r="E771" s="6"/>
      <c r="F771" s="6"/>
      <c r="G771" s="6" t="str">
        <f>IFERROR(__xludf.DUMMYFUNCTION("""COMPUTED_VALUE"""),"")</f>
        <v/>
      </c>
      <c r="H771" s="6"/>
      <c r="I771" s="6"/>
      <c r="J771" s="6"/>
      <c r="K771" s="6"/>
      <c r="L771" s="6"/>
      <c r="M771" s="6"/>
      <c r="N771" s="6"/>
      <c r="O771" s="6"/>
      <c r="P771" s="6"/>
      <c r="Q771" s="6"/>
      <c r="R771" s="6"/>
      <c r="S771" s="6"/>
      <c r="T771" s="6"/>
      <c r="U771" s="6"/>
      <c r="V771" s="6"/>
      <c r="W771" s="6"/>
      <c r="X771" s="6"/>
    </row>
    <row r="772" hidden="1">
      <c r="A772" s="6"/>
      <c r="B772" s="6"/>
      <c r="C772" s="6"/>
      <c r="D772" s="6"/>
      <c r="E772" s="6"/>
      <c r="F772" s="6"/>
      <c r="G772" s="6" t="str">
        <f>IFERROR(__xludf.DUMMYFUNCTION("""COMPUTED_VALUE"""),"")</f>
        <v/>
      </c>
      <c r="H772" s="6"/>
      <c r="I772" s="6"/>
      <c r="J772" s="6"/>
      <c r="K772" s="6"/>
      <c r="L772" s="6"/>
      <c r="M772" s="6"/>
      <c r="N772" s="6"/>
      <c r="O772" s="6"/>
      <c r="P772" s="6"/>
      <c r="Q772" s="6"/>
      <c r="R772" s="6"/>
      <c r="S772" s="6"/>
      <c r="T772" s="6"/>
      <c r="U772" s="6"/>
      <c r="V772" s="6"/>
      <c r="W772" s="6"/>
      <c r="X772" s="6"/>
    </row>
    <row r="773" hidden="1">
      <c r="A773" s="6"/>
      <c r="B773" s="6"/>
      <c r="C773" s="6"/>
      <c r="D773" s="6"/>
      <c r="E773" s="6"/>
      <c r="F773" s="6"/>
      <c r="G773" s="6" t="str">
        <f>IFERROR(__xludf.DUMMYFUNCTION("""COMPUTED_VALUE"""),"")</f>
        <v/>
      </c>
      <c r="H773" s="6"/>
      <c r="I773" s="6"/>
      <c r="J773" s="6"/>
      <c r="K773" s="6"/>
      <c r="L773" s="6"/>
      <c r="M773" s="6"/>
      <c r="N773" s="6"/>
      <c r="O773" s="6"/>
      <c r="P773" s="6"/>
      <c r="Q773" s="6"/>
      <c r="R773" s="6"/>
      <c r="S773" s="6"/>
      <c r="T773" s="6"/>
      <c r="U773" s="6"/>
      <c r="V773" s="6"/>
      <c r="W773" s="6"/>
      <c r="X773" s="6"/>
    </row>
    <row r="774" hidden="1">
      <c r="A774" s="6"/>
      <c r="B774" s="6"/>
      <c r="C774" s="6"/>
      <c r="D774" s="6"/>
      <c r="E774" s="6"/>
      <c r="F774" s="6"/>
      <c r="G774" s="6" t="str">
        <f>IFERROR(__xludf.DUMMYFUNCTION("""COMPUTED_VALUE"""),"")</f>
        <v/>
      </c>
      <c r="H774" s="6"/>
      <c r="I774" s="6"/>
      <c r="J774" s="6"/>
      <c r="K774" s="6"/>
      <c r="L774" s="6"/>
      <c r="M774" s="6"/>
      <c r="N774" s="6"/>
      <c r="O774" s="6"/>
      <c r="P774" s="6"/>
      <c r="Q774" s="6"/>
      <c r="R774" s="6"/>
      <c r="S774" s="6"/>
      <c r="T774" s="6"/>
      <c r="U774" s="6"/>
      <c r="V774" s="6"/>
      <c r="W774" s="6"/>
      <c r="X774" s="6"/>
    </row>
    <row r="775" hidden="1">
      <c r="A775" s="6"/>
      <c r="B775" s="6"/>
      <c r="C775" s="6"/>
      <c r="D775" s="6"/>
      <c r="E775" s="6"/>
      <c r="F775" s="6"/>
      <c r="G775" s="6" t="str">
        <f>IFERROR(__xludf.DUMMYFUNCTION("""COMPUTED_VALUE"""),"")</f>
        <v/>
      </c>
      <c r="H775" s="6"/>
      <c r="I775" s="6"/>
      <c r="J775" s="6"/>
      <c r="K775" s="6"/>
      <c r="L775" s="6"/>
      <c r="M775" s="6"/>
      <c r="N775" s="6"/>
      <c r="O775" s="6"/>
      <c r="P775" s="6"/>
      <c r="Q775" s="6"/>
      <c r="R775" s="6"/>
      <c r="S775" s="6"/>
      <c r="T775" s="6"/>
      <c r="U775" s="6"/>
      <c r="V775" s="6"/>
      <c r="W775" s="6"/>
      <c r="X775" s="6"/>
    </row>
    <row r="776" hidden="1">
      <c r="A776" s="6"/>
      <c r="B776" s="6"/>
      <c r="C776" s="6"/>
      <c r="D776" s="6"/>
      <c r="E776" s="6"/>
      <c r="F776" s="6"/>
      <c r="G776" s="6" t="str">
        <f>IFERROR(__xludf.DUMMYFUNCTION("""COMPUTED_VALUE"""),"")</f>
        <v/>
      </c>
      <c r="H776" s="6"/>
      <c r="I776" s="6"/>
      <c r="J776" s="6"/>
      <c r="K776" s="6"/>
      <c r="L776" s="6"/>
      <c r="M776" s="6"/>
      <c r="N776" s="6"/>
      <c r="O776" s="6"/>
      <c r="P776" s="6"/>
      <c r="Q776" s="6"/>
      <c r="R776" s="6"/>
      <c r="S776" s="6"/>
      <c r="T776" s="6"/>
      <c r="U776" s="6"/>
      <c r="V776" s="6"/>
      <c r="W776" s="6"/>
      <c r="X776" s="6"/>
    </row>
    <row r="777" hidden="1">
      <c r="A777" s="6"/>
      <c r="B777" s="6"/>
      <c r="C777" s="6"/>
      <c r="D777" s="6"/>
      <c r="E777" s="6"/>
      <c r="F777" s="6"/>
      <c r="G777" s="6" t="str">
        <f>IFERROR(__xludf.DUMMYFUNCTION("""COMPUTED_VALUE"""),"")</f>
        <v/>
      </c>
      <c r="H777" s="6"/>
      <c r="I777" s="6"/>
      <c r="J777" s="6"/>
      <c r="K777" s="6"/>
      <c r="L777" s="6"/>
      <c r="M777" s="6"/>
      <c r="N777" s="6"/>
      <c r="O777" s="6"/>
      <c r="P777" s="6"/>
      <c r="Q777" s="6"/>
      <c r="R777" s="6"/>
      <c r="S777" s="6"/>
      <c r="T777" s="6"/>
      <c r="U777" s="6"/>
      <c r="V777" s="6"/>
      <c r="W777" s="6"/>
      <c r="X777" s="6"/>
    </row>
    <row r="778" hidden="1">
      <c r="A778" s="6"/>
      <c r="B778" s="6"/>
      <c r="C778" s="6"/>
      <c r="D778" s="6"/>
      <c r="E778" s="6"/>
      <c r="F778" s="6"/>
      <c r="G778" s="6" t="str">
        <f>IFERROR(__xludf.DUMMYFUNCTION("""COMPUTED_VALUE"""),"")</f>
        <v/>
      </c>
      <c r="H778" s="6"/>
      <c r="I778" s="6"/>
      <c r="J778" s="6"/>
      <c r="K778" s="6"/>
      <c r="L778" s="6"/>
      <c r="M778" s="6"/>
      <c r="N778" s="6"/>
      <c r="O778" s="6"/>
      <c r="P778" s="6"/>
      <c r="Q778" s="6"/>
      <c r="R778" s="6"/>
      <c r="S778" s="6"/>
      <c r="T778" s="6"/>
      <c r="U778" s="6"/>
      <c r="V778" s="6"/>
      <c r="W778" s="6"/>
      <c r="X778" s="6"/>
    </row>
    <row r="779" hidden="1">
      <c r="A779" s="6"/>
      <c r="B779" s="6"/>
      <c r="C779" s="6"/>
      <c r="D779" s="6"/>
      <c r="E779" s="6"/>
      <c r="F779" s="6"/>
      <c r="G779" s="6" t="str">
        <f>IFERROR(__xludf.DUMMYFUNCTION("""COMPUTED_VALUE"""),"")</f>
        <v/>
      </c>
      <c r="H779" s="6"/>
      <c r="I779" s="6"/>
      <c r="J779" s="6"/>
      <c r="K779" s="6"/>
      <c r="L779" s="6"/>
      <c r="M779" s="6"/>
      <c r="N779" s="6"/>
      <c r="O779" s="6"/>
      <c r="P779" s="6"/>
      <c r="Q779" s="6"/>
      <c r="R779" s="6"/>
      <c r="S779" s="6"/>
      <c r="T779" s="6"/>
      <c r="U779" s="6"/>
      <c r="V779" s="6"/>
      <c r="W779" s="6"/>
      <c r="X779" s="6"/>
    </row>
    <row r="780" hidden="1">
      <c r="A780" s="6"/>
      <c r="B780" s="6"/>
      <c r="C780" s="6"/>
      <c r="D780" s="6"/>
      <c r="E780" s="6"/>
      <c r="F780" s="6"/>
      <c r="G780" s="6" t="str">
        <f>IFERROR(__xludf.DUMMYFUNCTION("""COMPUTED_VALUE"""),"")</f>
        <v/>
      </c>
      <c r="H780" s="6"/>
      <c r="I780" s="6"/>
      <c r="J780" s="6"/>
      <c r="K780" s="6"/>
      <c r="L780" s="6"/>
      <c r="M780" s="6"/>
      <c r="N780" s="6"/>
      <c r="O780" s="6"/>
      <c r="P780" s="6"/>
      <c r="Q780" s="6"/>
      <c r="R780" s="6"/>
      <c r="S780" s="6"/>
      <c r="T780" s="6"/>
      <c r="U780" s="6"/>
      <c r="V780" s="6"/>
      <c r="W780" s="6"/>
      <c r="X780" s="6"/>
    </row>
    <row r="781" hidden="1">
      <c r="A781" s="6"/>
      <c r="B781" s="6"/>
      <c r="C781" s="6"/>
      <c r="D781" s="6"/>
      <c r="E781" s="6"/>
      <c r="F781" s="6"/>
      <c r="G781" s="6" t="str">
        <f>IFERROR(__xludf.DUMMYFUNCTION("""COMPUTED_VALUE"""),"")</f>
        <v/>
      </c>
      <c r="H781" s="6"/>
      <c r="I781" s="6"/>
      <c r="J781" s="6"/>
      <c r="K781" s="6"/>
      <c r="L781" s="6"/>
      <c r="M781" s="6"/>
      <c r="N781" s="6"/>
      <c r="O781" s="6"/>
      <c r="P781" s="6"/>
      <c r="Q781" s="6"/>
      <c r="R781" s="6"/>
      <c r="S781" s="6"/>
      <c r="T781" s="6"/>
      <c r="U781" s="6"/>
      <c r="V781" s="6"/>
      <c r="W781" s="6"/>
      <c r="X781" s="6"/>
    </row>
    <row r="782" hidden="1">
      <c r="A782" s="6"/>
      <c r="B782" s="6"/>
      <c r="C782" s="6"/>
      <c r="D782" s="6"/>
      <c r="E782" s="6"/>
      <c r="F782" s="6"/>
      <c r="G782" s="6" t="str">
        <f>IFERROR(__xludf.DUMMYFUNCTION("""COMPUTED_VALUE"""),"")</f>
        <v/>
      </c>
      <c r="H782" s="6"/>
      <c r="I782" s="6"/>
      <c r="J782" s="6"/>
      <c r="K782" s="6"/>
      <c r="L782" s="6"/>
      <c r="M782" s="6"/>
      <c r="N782" s="6"/>
      <c r="O782" s="6"/>
      <c r="P782" s="6"/>
      <c r="Q782" s="6"/>
      <c r="R782" s="6"/>
      <c r="S782" s="6"/>
      <c r="T782" s="6"/>
      <c r="U782" s="6"/>
      <c r="V782" s="6"/>
      <c r="W782" s="6"/>
      <c r="X782" s="6"/>
    </row>
    <row r="783" hidden="1">
      <c r="A783" s="6"/>
      <c r="B783" s="6"/>
      <c r="C783" s="6"/>
      <c r="D783" s="6"/>
      <c r="E783" s="6"/>
      <c r="F783" s="6"/>
      <c r="G783" s="6" t="str">
        <f>IFERROR(__xludf.DUMMYFUNCTION("""COMPUTED_VALUE"""),"")</f>
        <v/>
      </c>
      <c r="H783" s="6"/>
      <c r="I783" s="6"/>
      <c r="J783" s="6"/>
      <c r="K783" s="6"/>
      <c r="L783" s="6"/>
      <c r="M783" s="6"/>
      <c r="N783" s="6"/>
      <c r="O783" s="6"/>
      <c r="P783" s="6"/>
      <c r="Q783" s="6"/>
      <c r="R783" s="6"/>
      <c r="S783" s="6"/>
      <c r="T783" s="6"/>
      <c r="U783" s="6"/>
      <c r="V783" s="6"/>
      <c r="W783" s="6"/>
      <c r="X783" s="6"/>
    </row>
    <row r="784" hidden="1">
      <c r="A784" s="6"/>
      <c r="B784" s="6"/>
      <c r="C784" s="6"/>
      <c r="D784" s="6"/>
      <c r="E784" s="6"/>
      <c r="F784" s="6"/>
      <c r="G784" s="6" t="str">
        <f>IFERROR(__xludf.DUMMYFUNCTION("""COMPUTED_VALUE"""),"")</f>
        <v/>
      </c>
      <c r="H784" s="6"/>
      <c r="I784" s="6"/>
      <c r="J784" s="6"/>
      <c r="K784" s="6"/>
      <c r="L784" s="6"/>
      <c r="M784" s="6"/>
      <c r="N784" s="6"/>
      <c r="O784" s="6"/>
      <c r="P784" s="6"/>
      <c r="Q784" s="6"/>
      <c r="R784" s="6"/>
      <c r="S784" s="6"/>
      <c r="T784" s="6"/>
      <c r="U784" s="6"/>
      <c r="V784" s="6"/>
      <c r="W784" s="6"/>
      <c r="X784" s="6"/>
    </row>
    <row r="785" hidden="1">
      <c r="A785" s="6"/>
      <c r="B785" s="6"/>
      <c r="C785" s="6"/>
      <c r="D785" s="6"/>
      <c r="E785" s="6"/>
      <c r="F785" s="6"/>
      <c r="G785" s="6" t="str">
        <f>IFERROR(__xludf.DUMMYFUNCTION("""COMPUTED_VALUE"""),"")</f>
        <v/>
      </c>
      <c r="H785" s="6"/>
      <c r="I785" s="6"/>
      <c r="J785" s="6"/>
      <c r="K785" s="6"/>
      <c r="L785" s="6"/>
      <c r="M785" s="6"/>
      <c r="N785" s="6"/>
      <c r="O785" s="6"/>
      <c r="P785" s="6"/>
      <c r="Q785" s="6"/>
      <c r="R785" s="6"/>
      <c r="S785" s="6"/>
      <c r="T785" s="6"/>
      <c r="U785" s="6"/>
      <c r="V785" s="6"/>
      <c r="W785" s="6"/>
      <c r="X785" s="6"/>
    </row>
    <row r="786" hidden="1">
      <c r="A786" s="6"/>
      <c r="B786" s="6"/>
      <c r="C786" s="6"/>
      <c r="D786" s="6"/>
      <c r="E786" s="6"/>
      <c r="F786" s="6"/>
      <c r="G786" s="6" t="str">
        <f>IFERROR(__xludf.DUMMYFUNCTION("""COMPUTED_VALUE"""),"")</f>
        <v/>
      </c>
      <c r="H786" s="6"/>
      <c r="I786" s="6"/>
      <c r="J786" s="6"/>
      <c r="K786" s="6"/>
      <c r="L786" s="6"/>
      <c r="M786" s="6"/>
      <c r="N786" s="6"/>
      <c r="O786" s="6"/>
      <c r="P786" s="6"/>
      <c r="Q786" s="6"/>
      <c r="R786" s="6"/>
      <c r="S786" s="6"/>
      <c r="T786" s="6"/>
      <c r="U786" s="6"/>
      <c r="V786" s="6"/>
      <c r="W786" s="6"/>
      <c r="X786" s="6"/>
    </row>
    <row r="787" hidden="1">
      <c r="A787" s="6"/>
      <c r="B787" s="6"/>
      <c r="C787" s="6"/>
      <c r="D787" s="6"/>
      <c r="E787" s="6"/>
      <c r="F787" s="6"/>
      <c r="G787" s="6" t="str">
        <f>IFERROR(__xludf.DUMMYFUNCTION("""COMPUTED_VALUE"""),"")</f>
        <v/>
      </c>
      <c r="H787" s="6"/>
      <c r="I787" s="6"/>
      <c r="J787" s="6"/>
      <c r="K787" s="6"/>
      <c r="L787" s="6"/>
      <c r="M787" s="6"/>
      <c r="N787" s="6"/>
      <c r="O787" s="6"/>
      <c r="P787" s="6"/>
      <c r="Q787" s="6"/>
      <c r="R787" s="6"/>
      <c r="S787" s="6"/>
      <c r="T787" s="6"/>
      <c r="U787" s="6"/>
      <c r="V787" s="6"/>
      <c r="W787" s="6"/>
      <c r="X787" s="6"/>
    </row>
    <row r="788" hidden="1">
      <c r="A788" s="6"/>
      <c r="B788" s="6"/>
      <c r="C788" s="6"/>
      <c r="D788" s="6"/>
      <c r="E788" s="6"/>
      <c r="F788" s="6"/>
      <c r="G788" s="6" t="str">
        <f>IFERROR(__xludf.DUMMYFUNCTION("""COMPUTED_VALUE"""),"")</f>
        <v/>
      </c>
      <c r="H788" s="6"/>
      <c r="I788" s="6"/>
      <c r="J788" s="6"/>
      <c r="K788" s="6"/>
      <c r="L788" s="6"/>
      <c r="M788" s="6"/>
      <c r="N788" s="6"/>
      <c r="O788" s="6"/>
      <c r="P788" s="6"/>
      <c r="Q788" s="6"/>
      <c r="R788" s="6"/>
      <c r="S788" s="6"/>
      <c r="T788" s="6"/>
      <c r="U788" s="6"/>
      <c r="V788" s="6"/>
      <c r="W788" s="6"/>
      <c r="X788" s="6"/>
    </row>
    <row r="789" hidden="1">
      <c r="A789" s="6"/>
      <c r="B789" s="6"/>
      <c r="C789" s="6"/>
      <c r="D789" s="6"/>
      <c r="E789" s="6"/>
      <c r="F789" s="6"/>
      <c r="G789" s="6" t="str">
        <f>IFERROR(__xludf.DUMMYFUNCTION("""COMPUTED_VALUE"""),"")</f>
        <v/>
      </c>
      <c r="H789" s="6"/>
      <c r="I789" s="6"/>
      <c r="J789" s="6"/>
      <c r="K789" s="6"/>
      <c r="L789" s="6"/>
      <c r="M789" s="6"/>
      <c r="N789" s="6"/>
      <c r="O789" s="6"/>
      <c r="P789" s="6"/>
      <c r="Q789" s="6"/>
      <c r="R789" s="6"/>
      <c r="S789" s="6"/>
      <c r="T789" s="6"/>
      <c r="U789" s="6"/>
      <c r="V789" s="6"/>
      <c r="W789" s="6"/>
      <c r="X789" s="6"/>
    </row>
    <row r="790" hidden="1">
      <c r="A790" s="6"/>
      <c r="B790" s="6"/>
      <c r="C790" s="6"/>
      <c r="D790" s="6"/>
      <c r="E790" s="6"/>
      <c r="F790" s="6"/>
      <c r="G790" s="6" t="str">
        <f>IFERROR(__xludf.DUMMYFUNCTION("""COMPUTED_VALUE"""),"")</f>
        <v/>
      </c>
      <c r="H790" s="6"/>
      <c r="I790" s="6"/>
      <c r="J790" s="6"/>
      <c r="K790" s="6"/>
      <c r="L790" s="6"/>
      <c r="M790" s="6"/>
      <c r="N790" s="6"/>
      <c r="O790" s="6"/>
      <c r="P790" s="6"/>
      <c r="Q790" s="6"/>
      <c r="R790" s="6"/>
      <c r="S790" s="6"/>
      <c r="T790" s="6"/>
      <c r="U790" s="6"/>
      <c r="V790" s="6"/>
      <c r="W790" s="6"/>
      <c r="X790" s="6"/>
    </row>
    <row r="791" hidden="1">
      <c r="A791" s="6"/>
      <c r="B791" s="6"/>
      <c r="C791" s="6"/>
      <c r="D791" s="6"/>
      <c r="E791" s="6"/>
      <c r="F791" s="6"/>
      <c r="G791" s="6" t="str">
        <f>IFERROR(__xludf.DUMMYFUNCTION("""COMPUTED_VALUE"""),"")</f>
        <v/>
      </c>
      <c r="H791" s="6"/>
      <c r="I791" s="6"/>
      <c r="J791" s="6"/>
      <c r="K791" s="6"/>
      <c r="L791" s="6"/>
      <c r="M791" s="6"/>
      <c r="N791" s="6"/>
      <c r="O791" s="6"/>
      <c r="P791" s="6"/>
      <c r="Q791" s="6"/>
      <c r="R791" s="6"/>
      <c r="S791" s="6"/>
      <c r="T791" s="6"/>
      <c r="U791" s="6"/>
      <c r="V791" s="6"/>
      <c r="W791" s="6"/>
      <c r="X791" s="6"/>
    </row>
    <row r="792" hidden="1">
      <c r="A792" s="6"/>
      <c r="B792" s="6"/>
      <c r="C792" s="6"/>
      <c r="D792" s="6"/>
      <c r="E792" s="6"/>
      <c r="F792" s="6"/>
      <c r="G792" s="6" t="str">
        <f>IFERROR(__xludf.DUMMYFUNCTION("""COMPUTED_VALUE"""),"")</f>
        <v/>
      </c>
      <c r="H792" s="6"/>
      <c r="I792" s="6"/>
      <c r="J792" s="6"/>
      <c r="K792" s="6"/>
      <c r="L792" s="6"/>
      <c r="M792" s="6"/>
      <c r="N792" s="6"/>
      <c r="O792" s="6"/>
      <c r="P792" s="6"/>
      <c r="Q792" s="6"/>
      <c r="R792" s="6"/>
      <c r="S792" s="6"/>
      <c r="T792" s="6"/>
      <c r="U792" s="6"/>
      <c r="V792" s="6"/>
      <c r="W792" s="6"/>
      <c r="X792" s="6"/>
    </row>
    <row r="793" hidden="1">
      <c r="A793" s="6"/>
      <c r="B793" s="6"/>
      <c r="C793" s="6"/>
      <c r="D793" s="6"/>
      <c r="E793" s="6"/>
      <c r="F793" s="6"/>
      <c r="G793" s="6" t="str">
        <f>IFERROR(__xludf.DUMMYFUNCTION("""COMPUTED_VALUE"""),"")</f>
        <v/>
      </c>
      <c r="H793" s="6"/>
      <c r="I793" s="6"/>
      <c r="J793" s="6"/>
      <c r="K793" s="6"/>
      <c r="L793" s="6"/>
      <c r="M793" s="6"/>
      <c r="N793" s="6"/>
      <c r="O793" s="6"/>
      <c r="P793" s="6"/>
      <c r="Q793" s="6"/>
      <c r="R793" s="6"/>
      <c r="S793" s="6"/>
      <c r="T793" s="6"/>
      <c r="U793" s="6"/>
      <c r="V793" s="6"/>
      <c r="W793" s="6"/>
      <c r="X793" s="6"/>
    </row>
    <row r="794" hidden="1">
      <c r="A794" s="6"/>
      <c r="B794" s="6"/>
      <c r="C794" s="6"/>
      <c r="D794" s="6"/>
      <c r="E794" s="6"/>
      <c r="F794" s="6"/>
      <c r="G794" s="6" t="str">
        <f>IFERROR(__xludf.DUMMYFUNCTION("""COMPUTED_VALUE"""),"")</f>
        <v/>
      </c>
      <c r="H794" s="6"/>
      <c r="I794" s="6"/>
      <c r="J794" s="6"/>
      <c r="K794" s="6"/>
      <c r="L794" s="6"/>
      <c r="M794" s="6"/>
      <c r="N794" s="6"/>
      <c r="O794" s="6"/>
      <c r="P794" s="6"/>
      <c r="Q794" s="6"/>
      <c r="R794" s="6"/>
      <c r="S794" s="6"/>
      <c r="T794" s="6"/>
      <c r="U794" s="6"/>
      <c r="V794" s="6"/>
      <c r="W794" s="6"/>
      <c r="X794" s="6"/>
    </row>
    <row r="795" hidden="1">
      <c r="A795" s="6"/>
      <c r="B795" s="6"/>
      <c r="C795" s="6"/>
      <c r="D795" s="6"/>
      <c r="E795" s="6"/>
      <c r="F795" s="6"/>
      <c r="G795" s="6" t="str">
        <f>IFERROR(__xludf.DUMMYFUNCTION("""COMPUTED_VALUE"""),"")</f>
        <v/>
      </c>
      <c r="H795" s="6"/>
      <c r="I795" s="6"/>
      <c r="J795" s="6"/>
      <c r="K795" s="6"/>
      <c r="L795" s="6"/>
      <c r="M795" s="6"/>
      <c r="N795" s="6"/>
      <c r="O795" s="6"/>
      <c r="P795" s="6"/>
      <c r="Q795" s="6"/>
      <c r="R795" s="6"/>
      <c r="S795" s="6"/>
      <c r="T795" s="6"/>
      <c r="U795" s="6"/>
      <c r="V795" s="6"/>
      <c r="W795" s="6"/>
      <c r="X795" s="6"/>
    </row>
    <row r="796" hidden="1">
      <c r="A796" s="6"/>
      <c r="B796" s="6"/>
      <c r="C796" s="6"/>
      <c r="D796" s="6"/>
      <c r="E796" s="6"/>
      <c r="F796" s="6"/>
      <c r="G796" s="6" t="str">
        <f>IFERROR(__xludf.DUMMYFUNCTION("""COMPUTED_VALUE"""),"")</f>
        <v/>
      </c>
      <c r="H796" s="6"/>
      <c r="I796" s="6"/>
      <c r="J796" s="6"/>
      <c r="K796" s="6"/>
      <c r="L796" s="6"/>
      <c r="M796" s="6"/>
      <c r="N796" s="6"/>
      <c r="O796" s="6"/>
      <c r="P796" s="6"/>
      <c r="Q796" s="6"/>
      <c r="R796" s="6"/>
      <c r="S796" s="6"/>
      <c r="T796" s="6"/>
      <c r="U796" s="6"/>
      <c r="V796" s="6"/>
      <c r="W796" s="6"/>
      <c r="X796" s="6"/>
    </row>
    <row r="797" hidden="1">
      <c r="A797" s="6"/>
      <c r="B797" s="6"/>
      <c r="C797" s="6"/>
      <c r="D797" s="6"/>
      <c r="E797" s="6"/>
      <c r="F797" s="6"/>
      <c r="G797" s="6" t="str">
        <f>IFERROR(__xludf.DUMMYFUNCTION("""COMPUTED_VALUE"""),"")</f>
        <v/>
      </c>
      <c r="H797" s="6"/>
      <c r="I797" s="6"/>
      <c r="J797" s="6"/>
      <c r="K797" s="6"/>
      <c r="L797" s="6"/>
      <c r="M797" s="6"/>
      <c r="N797" s="6"/>
      <c r="O797" s="6"/>
      <c r="P797" s="6"/>
      <c r="Q797" s="6"/>
      <c r="R797" s="6"/>
      <c r="S797" s="6"/>
      <c r="T797" s="6"/>
      <c r="U797" s="6"/>
      <c r="V797" s="6"/>
      <c r="W797" s="6"/>
      <c r="X797" s="6"/>
    </row>
    <row r="798" hidden="1">
      <c r="A798" s="6"/>
      <c r="B798" s="6"/>
      <c r="C798" s="6"/>
      <c r="D798" s="6"/>
      <c r="E798" s="6"/>
      <c r="F798" s="6"/>
      <c r="G798" s="6" t="str">
        <f>IFERROR(__xludf.DUMMYFUNCTION("""COMPUTED_VALUE"""),"")</f>
        <v/>
      </c>
      <c r="H798" s="6"/>
      <c r="I798" s="6"/>
      <c r="J798" s="6"/>
      <c r="K798" s="6"/>
      <c r="L798" s="6"/>
      <c r="M798" s="6"/>
      <c r="N798" s="6"/>
      <c r="O798" s="6"/>
      <c r="P798" s="6"/>
      <c r="Q798" s="6"/>
      <c r="R798" s="6"/>
      <c r="S798" s="6"/>
      <c r="T798" s="6"/>
      <c r="U798" s="6"/>
      <c r="V798" s="6"/>
      <c r="W798" s="6"/>
      <c r="X798" s="6"/>
    </row>
    <row r="799" hidden="1">
      <c r="A799" s="6"/>
      <c r="B799" s="6"/>
      <c r="C799" s="6"/>
      <c r="D799" s="6"/>
      <c r="E799" s="6"/>
      <c r="F799" s="6"/>
      <c r="G799" s="6" t="str">
        <f>IFERROR(__xludf.DUMMYFUNCTION("""COMPUTED_VALUE"""),"")</f>
        <v/>
      </c>
      <c r="H799" s="6"/>
      <c r="I799" s="6"/>
      <c r="J799" s="6"/>
      <c r="K799" s="6"/>
      <c r="L799" s="6"/>
      <c r="M799" s="6"/>
      <c r="N799" s="6"/>
      <c r="O799" s="6"/>
      <c r="P799" s="6"/>
      <c r="Q799" s="6"/>
      <c r="R799" s="6"/>
      <c r="S799" s="6"/>
      <c r="T799" s="6"/>
      <c r="U799" s="6"/>
      <c r="V799" s="6"/>
      <c r="W799" s="6"/>
      <c r="X799" s="6"/>
    </row>
    <row r="800" hidden="1">
      <c r="A800" s="6"/>
      <c r="B800" s="6"/>
      <c r="C800" s="6"/>
      <c r="D800" s="6"/>
      <c r="E800" s="6"/>
      <c r="F800" s="6"/>
      <c r="G800" s="6" t="str">
        <f>IFERROR(__xludf.DUMMYFUNCTION("""COMPUTED_VALUE"""),"")</f>
        <v/>
      </c>
      <c r="H800" s="6"/>
      <c r="I800" s="6"/>
      <c r="J800" s="6"/>
      <c r="K800" s="6"/>
      <c r="L800" s="6"/>
      <c r="M800" s="6"/>
      <c r="N800" s="6"/>
      <c r="O800" s="6"/>
      <c r="P800" s="6"/>
      <c r="Q800" s="6"/>
      <c r="R800" s="6"/>
      <c r="S800" s="6"/>
      <c r="T800" s="6"/>
      <c r="U800" s="6"/>
      <c r="V800" s="6"/>
      <c r="W800" s="6"/>
      <c r="X800" s="6"/>
    </row>
    <row r="801" hidden="1">
      <c r="A801" s="6"/>
      <c r="B801" s="6"/>
      <c r="C801" s="6"/>
      <c r="D801" s="6"/>
      <c r="E801" s="6"/>
      <c r="F801" s="6"/>
      <c r="G801" s="6" t="str">
        <f>IFERROR(__xludf.DUMMYFUNCTION("""COMPUTED_VALUE"""),"")</f>
        <v/>
      </c>
      <c r="H801" s="6"/>
      <c r="I801" s="6"/>
      <c r="J801" s="6"/>
      <c r="K801" s="6"/>
      <c r="L801" s="6"/>
      <c r="M801" s="6"/>
      <c r="N801" s="6"/>
      <c r="O801" s="6"/>
      <c r="P801" s="6"/>
      <c r="Q801" s="6"/>
      <c r="R801" s="6"/>
      <c r="S801" s="6"/>
      <c r="T801" s="6"/>
      <c r="U801" s="6"/>
      <c r="V801" s="6"/>
      <c r="W801" s="6"/>
      <c r="X801" s="6"/>
    </row>
    <row r="802" hidden="1">
      <c r="A802" s="6"/>
      <c r="B802" s="6"/>
      <c r="C802" s="6"/>
      <c r="D802" s="6"/>
      <c r="E802" s="6"/>
      <c r="F802" s="6"/>
      <c r="G802" s="6" t="str">
        <f>IFERROR(__xludf.DUMMYFUNCTION("""COMPUTED_VALUE"""),"")</f>
        <v/>
      </c>
      <c r="H802" s="6"/>
      <c r="I802" s="6"/>
      <c r="J802" s="6"/>
      <c r="K802" s="6"/>
      <c r="L802" s="6"/>
      <c r="M802" s="6"/>
      <c r="N802" s="6"/>
      <c r="O802" s="6"/>
      <c r="P802" s="6"/>
      <c r="Q802" s="6"/>
      <c r="R802" s="6"/>
      <c r="S802" s="6"/>
      <c r="T802" s="6"/>
      <c r="U802" s="6"/>
      <c r="V802" s="6"/>
      <c r="W802" s="6"/>
      <c r="X802" s="6"/>
    </row>
    <row r="803" hidden="1">
      <c r="A803" s="6"/>
      <c r="B803" s="6"/>
      <c r="C803" s="6"/>
      <c r="D803" s="6"/>
      <c r="E803" s="6"/>
      <c r="F803" s="6"/>
      <c r="G803" s="6" t="str">
        <f>IFERROR(__xludf.DUMMYFUNCTION("""COMPUTED_VALUE"""),"")</f>
        <v/>
      </c>
      <c r="H803" s="6"/>
      <c r="I803" s="6"/>
      <c r="J803" s="6"/>
      <c r="K803" s="6"/>
      <c r="L803" s="6"/>
      <c r="M803" s="6"/>
      <c r="N803" s="6"/>
      <c r="O803" s="6"/>
      <c r="P803" s="6"/>
      <c r="Q803" s="6"/>
      <c r="R803" s="6"/>
      <c r="S803" s="6"/>
      <c r="T803" s="6"/>
      <c r="U803" s="6"/>
      <c r="V803" s="6"/>
      <c r="W803" s="6"/>
      <c r="X803" s="6"/>
    </row>
    <row r="804" hidden="1">
      <c r="A804" s="6"/>
      <c r="B804" s="6"/>
      <c r="C804" s="6"/>
      <c r="D804" s="6"/>
      <c r="E804" s="6"/>
      <c r="F804" s="6"/>
      <c r="G804" s="6" t="str">
        <f>IFERROR(__xludf.DUMMYFUNCTION("""COMPUTED_VALUE"""),"")</f>
        <v/>
      </c>
      <c r="H804" s="6"/>
      <c r="I804" s="6"/>
      <c r="J804" s="6"/>
      <c r="K804" s="6"/>
      <c r="L804" s="6"/>
      <c r="M804" s="6"/>
      <c r="N804" s="6"/>
      <c r="O804" s="6"/>
      <c r="P804" s="6"/>
      <c r="Q804" s="6"/>
      <c r="R804" s="6"/>
      <c r="S804" s="6"/>
      <c r="T804" s="6"/>
      <c r="U804" s="6"/>
      <c r="V804" s="6"/>
      <c r="W804" s="6"/>
      <c r="X804" s="6"/>
    </row>
    <row r="805" hidden="1">
      <c r="A805" s="6"/>
      <c r="B805" s="6"/>
      <c r="C805" s="6"/>
      <c r="D805" s="6"/>
      <c r="E805" s="6"/>
      <c r="F805" s="6"/>
      <c r="G805" s="6" t="str">
        <f>IFERROR(__xludf.DUMMYFUNCTION("""COMPUTED_VALUE"""),"")</f>
        <v/>
      </c>
      <c r="H805" s="6"/>
      <c r="I805" s="6"/>
      <c r="J805" s="6"/>
      <c r="K805" s="6"/>
      <c r="L805" s="6"/>
      <c r="M805" s="6"/>
      <c r="N805" s="6"/>
      <c r="O805" s="6"/>
      <c r="P805" s="6"/>
      <c r="Q805" s="6"/>
      <c r="R805" s="6"/>
      <c r="S805" s="6"/>
      <c r="T805" s="6"/>
      <c r="U805" s="6"/>
      <c r="V805" s="6"/>
      <c r="W805" s="6"/>
      <c r="X805" s="6"/>
    </row>
    <row r="806" hidden="1">
      <c r="A806" s="6"/>
      <c r="B806" s="6"/>
      <c r="C806" s="6"/>
      <c r="D806" s="6"/>
      <c r="E806" s="6"/>
      <c r="F806" s="6"/>
      <c r="G806" s="6" t="str">
        <f>IFERROR(__xludf.DUMMYFUNCTION("""COMPUTED_VALUE"""),"")</f>
        <v/>
      </c>
      <c r="H806" s="6"/>
      <c r="I806" s="6"/>
      <c r="J806" s="6"/>
      <c r="K806" s="6"/>
      <c r="L806" s="6"/>
      <c r="M806" s="6"/>
      <c r="N806" s="6"/>
      <c r="O806" s="6"/>
      <c r="P806" s="6"/>
      <c r="Q806" s="6"/>
      <c r="R806" s="6"/>
      <c r="S806" s="6"/>
      <c r="T806" s="6"/>
      <c r="U806" s="6"/>
      <c r="V806" s="6"/>
      <c r="W806" s="6"/>
      <c r="X806" s="6"/>
    </row>
    <row r="807" hidden="1">
      <c r="A807" s="6"/>
      <c r="B807" s="6"/>
      <c r="C807" s="6"/>
      <c r="D807" s="6"/>
      <c r="E807" s="6"/>
      <c r="F807" s="6"/>
      <c r="G807" s="6" t="str">
        <f>IFERROR(__xludf.DUMMYFUNCTION("""COMPUTED_VALUE"""),"")</f>
        <v/>
      </c>
      <c r="H807" s="6"/>
      <c r="I807" s="6"/>
      <c r="J807" s="6"/>
      <c r="K807" s="6"/>
      <c r="L807" s="6"/>
      <c r="M807" s="6"/>
      <c r="N807" s="6"/>
      <c r="O807" s="6"/>
      <c r="P807" s="6"/>
      <c r="Q807" s="6"/>
      <c r="R807" s="6"/>
      <c r="S807" s="6"/>
      <c r="T807" s="6"/>
      <c r="U807" s="6"/>
      <c r="V807" s="6"/>
      <c r="W807" s="6"/>
      <c r="X807" s="6"/>
    </row>
    <row r="808" hidden="1">
      <c r="A808" s="6"/>
      <c r="B808" s="6"/>
      <c r="C808" s="6"/>
      <c r="D808" s="6"/>
      <c r="E808" s="6"/>
      <c r="F808" s="6"/>
      <c r="G808" s="6" t="str">
        <f>IFERROR(__xludf.DUMMYFUNCTION("""COMPUTED_VALUE"""),"")</f>
        <v/>
      </c>
      <c r="H808" s="6"/>
      <c r="I808" s="6"/>
      <c r="J808" s="6"/>
      <c r="K808" s="6"/>
      <c r="L808" s="6"/>
      <c r="M808" s="6"/>
      <c r="N808" s="6"/>
      <c r="O808" s="6"/>
      <c r="P808" s="6"/>
      <c r="Q808" s="6"/>
      <c r="R808" s="6"/>
      <c r="S808" s="6"/>
      <c r="T808" s="6"/>
      <c r="U808" s="6"/>
      <c r="V808" s="6"/>
      <c r="W808" s="6"/>
      <c r="X808" s="6"/>
    </row>
    <row r="809" hidden="1">
      <c r="A809" s="6"/>
      <c r="B809" s="6"/>
      <c r="C809" s="6"/>
      <c r="D809" s="6"/>
      <c r="E809" s="6"/>
      <c r="F809" s="6"/>
      <c r="G809" s="6" t="str">
        <f>IFERROR(__xludf.DUMMYFUNCTION("""COMPUTED_VALUE"""),"")</f>
        <v/>
      </c>
      <c r="H809" s="6"/>
      <c r="I809" s="6"/>
      <c r="J809" s="6"/>
      <c r="K809" s="6"/>
      <c r="L809" s="6"/>
      <c r="M809" s="6"/>
      <c r="N809" s="6"/>
      <c r="O809" s="6"/>
      <c r="P809" s="6"/>
      <c r="Q809" s="6"/>
      <c r="R809" s="6"/>
      <c r="S809" s="6"/>
      <c r="T809" s="6"/>
      <c r="U809" s="6"/>
      <c r="V809" s="6"/>
      <c r="W809" s="6"/>
      <c r="X809" s="6"/>
    </row>
    <row r="810" hidden="1">
      <c r="A810" s="6"/>
      <c r="B810" s="6"/>
      <c r="C810" s="6"/>
      <c r="D810" s="6"/>
      <c r="E810" s="6"/>
      <c r="F810" s="6"/>
      <c r="G810" s="6" t="str">
        <f>IFERROR(__xludf.DUMMYFUNCTION("""COMPUTED_VALUE"""),"")</f>
        <v/>
      </c>
      <c r="H810" s="6"/>
      <c r="I810" s="6"/>
      <c r="J810" s="6"/>
      <c r="K810" s="6"/>
      <c r="L810" s="6"/>
      <c r="M810" s="6"/>
      <c r="N810" s="6"/>
      <c r="O810" s="6"/>
      <c r="P810" s="6"/>
      <c r="Q810" s="6"/>
      <c r="R810" s="6"/>
      <c r="S810" s="6"/>
      <c r="T810" s="6"/>
      <c r="U810" s="6"/>
      <c r="V810" s="6"/>
      <c r="W810" s="6"/>
      <c r="X810" s="6"/>
    </row>
    <row r="811" hidden="1">
      <c r="A811" s="6"/>
      <c r="B811" s="6"/>
      <c r="C811" s="6"/>
      <c r="D811" s="6"/>
      <c r="E811" s="6"/>
      <c r="F811" s="6"/>
      <c r="G811" s="6" t="str">
        <f>IFERROR(__xludf.DUMMYFUNCTION("""COMPUTED_VALUE"""),"")</f>
        <v/>
      </c>
      <c r="H811" s="6"/>
      <c r="I811" s="6"/>
      <c r="J811" s="6"/>
      <c r="K811" s="6"/>
      <c r="L811" s="6"/>
      <c r="M811" s="6"/>
      <c r="N811" s="6"/>
      <c r="O811" s="6"/>
      <c r="P811" s="6"/>
      <c r="Q811" s="6"/>
      <c r="R811" s="6"/>
      <c r="S811" s="6"/>
      <c r="T811" s="6"/>
      <c r="U811" s="6"/>
      <c r="V811" s="6"/>
      <c r="W811" s="6"/>
      <c r="X811" s="6"/>
    </row>
    <row r="812" hidden="1">
      <c r="A812" s="6"/>
      <c r="B812" s="6"/>
      <c r="C812" s="6"/>
      <c r="D812" s="6"/>
      <c r="E812" s="6"/>
      <c r="F812" s="6"/>
      <c r="G812" s="6" t="str">
        <f>IFERROR(__xludf.DUMMYFUNCTION("""COMPUTED_VALUE"""),"")</f>
        <v/>
      </c>
      <c r="H812" s="6"/>
      <c r="I812" s="6"/>
      <c r="J812" s="6"/>
      <c r="K812" s="6"/>
      <c r="L812" s="6"/>
      <c r="M812" s="6"/>
      <c r="N812" s="6"/>
      <c r="O812" s="6"/>
      <c r="P812" s="6"/>
      <c r="Q812" s="6"/>
      <c r="R812" s="6"/>
      <c r="S812" s="6"/>
      <c r="T812" s="6"/>
      <c r="U812" s="6"/>
      <c r="V812" s="6"/>
      <c r="W812" s="6"/>
      <c r="X812" s="6"/>
    </row>
    <row r="813" hidden="1">
      <c r="A813" s="6"/>
      <c r="B813" s="6"/>
      <c r="C813" s="6"/>
      <c r="D813" s="6"/>
      <c r="E813" s="6"/>
      <c r="F813" s="6"/>
      <c r="G813" s="6" t="str">
        <f>IFERROR(__xludf.DUMMYFUNCTION("""COMPUTED_VALUE"""),"")</f>
        <v/>
      </c>
      <c r="H813" s="6"/>
      <c r="I813" s="6"/>
      <c r="J813" s="6"/>
      <c r="K813" s="6"/>
      <c r="L813" s="6"/>
      <c r="M813" s="6"/>
      <c r="N813" s="6"/>
      <c r="O813" s="6"/>
      <c r="P813" s="6"/>
      <c r="Q813" s="6"/>
      <c r="R813" s="6"/>
      <c r="S813" s="6"/>
      <c r="T813" s="6"/>
      <c r="U813" s="6"/>
      <c r="V813" s="6"/>
      <c r="W813" s="6"/>
      <c r="X813" s="6"/>
    </row>
    <row r="814" hidden="1">
      <c r="A814" s="6"/>
      <c r="B814" s="6"/>
      <c r="C814" s="6"/>
      <c r="D814" s="6"/>
      <c r="E814" s="6"/>
      <c r="F814" s="6"/>
      <c r="G814" s="6" t="str">
        <f>IFERROR(__xludf.DUMMYFUNCTION("""COMPUTED_VALUE"""),"")</f>
        <v/>
      </c>
      <c r="H814" s="6"/>
      <c r="I814" s="6"/>
      <c r="J814" s="6"/>
      <c r="K814" s="6"/>
      <c r="L814" s="6"/>
      <c r="M814" s="6"/>
      <c r="N814" s="6"/>
      <c r="O814" s="6"/>
      <c r="P814" s="6"/>
      <c r="Q814" s="6"/>
      <c r="R814" s="6"/>
      <c r="S814" s="6"/>
      <c r="T814" s="6"/>
      <c r="U814" s="6"/>
      <c r="V814" s="6"/>
      <c r="W814" s="6"/>
      <c r="X814" s="6"/>
    </row>
    <row r="815" hidden="1">
      <c r="A815" s="6"/>
      <c r="B815" s="6"/>
      <c r="C815" s="6"/>
      <c r="D815" s="6"/>
      <c r="E815" s="6"/>
      <c r="F815" s="6"/>
      <c r="G815" s="6" t="str">
        <f>IFERROR(__xludf.DUMMYFUNCTION("""COMPUTED_VALUE"""),"")</f>
        <v/>
      </c>
      <c r="H815" s="6"/>
      <c r="I815" s="6"/>
      <c r="J815" s="6"/>
      <c r="K815" s="6"/>
      <c r="L815" s="6"/>
      <c r="M815" s="6"/>
      <c r="N815" s="6"/>
      <c r="O815" s="6"/>
      <c r="P815" s="6"/>
      <c r="Q815" s="6"/>
      <c r="R815" s="6"/>
      <c r="S815" s="6"/>
      <c r="T815" s="6"/>
      <c r="U815" s="6"/>
      <c r="V815" s="6"/>
      <c r="W815" s="6"/>
      <c r="X815" s="6"/>
    </row>
    <row r="816" hidden="1">
      <c r="A816" s="6"/>
      <c r="B816" s="6"/>
      <c r="C816" s="6"/>
      <c r="D816" s="6"/>
      <c r="E816" s="6"/>
      <c r="F816" s="6"/>
      <c r="G816" s="6" t="str">
        <f>IFERROR(__xludf.DUMMYFUNCTION("""COMPUTED_VALUE"""),"")</f>
        <v/>
      </c>
      <c r="H816" s="6"/>
      <c r="I816" s="6"/>
      <c r="J816" s="6"/>
      <c r="K816" s="6"/>
      <c r="L816" s="6"/>
      <c r="M816" s="6"/>
      <c r="N816" s="6"/>
      <c r="O816" s="6"/>
      <c r="P816" s="6"/>
      <c r="Q816" s="6"/>
      <c r="R816" s="6"/>
      <c r="S816" s="6"/>
      <c r="T816" s="6"/>
      <c r="U816" s="6"/>
      <c r="V816" s="6"/>
      <c r="W816" s="6"/>
      <c r="X816" s="6"/>
    </row>
    <row r="817" hidden="1">
      <c r="A817" s="6"/>
      <c r="B817" s="6"/>
      <c r="C817" s="6"/>
      <c r="D817" s="6"/>
      <c r="E817" s="6"/>
      <c r="F817" s="6"/>
      <c r="G817" s="6" t="str">
        <f>IFERROR(__xludf.DUMMYFUNCTION("""COMPUTED_VALUE"""),"")</f>
        <v/>
      </c>
      <c r="H817" s="6"/>
      <c r="I817" s="6"/>
      <c r="J817" s="6"/>
      <c r="K817" s="6"/>
      <c r="L817" s="6"/>
      <c r="M817" s="6"/>
      <c r="N817" s="6"/>
      <c r="O817" s="6"/>
      <c r="P817" s="6"/>
      <c r="Q817" s="6"/>
      <c r="R817" s="6"/>
      <c r="S817" s="6"/>
      <c r="T817" s="6"/>
      <c r="U817" s="6"/>
      <c r="V817" s="6"/>
      <c r="W817" s="6"/>
      <c r="X817" s="6"/>
    </row>
    <row r="818" hidden="1">
      <c r="A818" s="6"/>
      <c r="B818" s="6"/>
      <c r="C818" s="6"/>
      <c r="D818" s="6"/>
      <c r="E818" s="6"/>
      <c r="F818" s="6"/>
      <c r="G818" s="6" t="str">
        <f>IFERROR(__xludf.DUMMYFUNCTION("""COMPUTED_VALUE"""),"")</f>
        <v/>
      </c>
      <c r="H818" s="6"/>
      <c r="I818" s="6"/>
      <c r="J818" s="6"/>
      <c r="K818" s="6"/>
      <c r="L818" s="6"/>
      <c r="M818" s="6"/>
      <c r="N818" s="6"/>
      <c r="O818" s="6"/>
      <c r="P818" s="6"/>
      <c r="Q818" s="6"/>
      <c r="R818" s="6"/>
      <c r="S818" s="6"/>
      <c r="T818" s="6"/>
      <c r="U818" s="6"/>
      <c r="V818" s="6"/>
      <c r="W818" s="6"/>
      <c r="X818" s="6"/>
    </row>
    <row r="819" hidden="1">
      <c r="A819" s="6"/>
      <c r="B819" s="6"/>
      <c r="C819" s="6"/>
      <c r="D819" s="6"/>
      <c r="E819" s="6"/>
      <c r="F819" s="6"/>
      <c r="G819" s="6" t="str">
        <f>IFERROR(__xludf.DUMMYFUNCTION("""COMPUTED_VALUE"""),"")</f>
        <v/>
      </c>
      <c r="H819" s="6"/>
      <c r="I819" s="6"/>
      <c r="J819" s="6"/>
      <c r="K819" s="6"/>
      <c r="L819" s="6"/>
      <c r="M819" s="6"/>
      <c r="N819" s="6"/>
      <c r="O819" s="6"/>
      <c r="P819" s="6"/>
      <c r="Q819" s="6"/>
      <c r="R819" s="6"/>
      <c r="S819" s="6"/>
      <c r="T819" s="6"/>
      <c r="U819" s="6"/>
      <c r="V819" s="6"/>
      <c r="W819" s="6"/>
      <c r="X819" s="6"/>
    </row>
    <row r="820" hidden="1">
      <c r="A820" s="6"/>
      <c r="B820" s="6"/>
      <c r="C820" s="6"/>
      <c r="D820" s="6"/>
      <c r="E820" s="6"/>
      <c r="F820" s="6"/>
      <c r="G820" s="6" t="str">
        <f>IFERROR(__xludf.DUMMYFUNCTION("""COMPUTED_VALUE"""),"")</f>
        <v/>
      </c>
      <c r="H820" s="6"/>
      <c r="I820" s="6"/>
      <c r="J820" s="6"/>
      <c r="K820" s="6"/>
      <c r="L820" s="6"/>
      <c r="M820" s="6"/>
      <c r="N820" s="6"/>
      <c r="O820" s="6"/>
      <c r="P820" s="6"/>
      <c r="Q820" s="6"/>
      <c r="R820" s="6"/>
      <c r="S820" s="6"/>
      <c r="T820" s="6"/>
      <c r="U820" s="6"/>
      <c r="V820" s="6"/>
      <c r="W820" s="6"/>
      <c r="X820" s="6"/>
    </row>
    <row r="821" hidden="1">
      <c r="A821" s="6"/>
      <c r="B821" s="6"/>
      <c r="C821" s="6"/>
      <c r="D821" s="6"/>
      <c r="E821" s="6"/>
      <c r="F821" s="6"/>
      <c r="G821" s="6" t="str">
        <f>IFERROR(__xludf.DUMMYFUNCTION("""COMPUTED_VALUE"""),"")</f>
        <v/>
      </c>
      <c r="H821" s="6"/>
      <c r="I821" s="6"/>
      <c r="J821" s="6"/>
      <c r="K821" s="6"/>
      <c r="L821" s="6"/>
      <c r="M821" s="6"/>
      <c r="N821" s="6"/>
      <c r="O821" s="6"/>
      <c r="P821" s="6"/>
      <c r="Q821" s="6"/>
      <c r="R821" s="6"/>
      <c r="S821" s="6"/>
      <c r="T821" s="6"/>
      <c r="U821" s="6"/>
      <c r="V821" s="6"/>
      <c r="W821" s="6"/>
      <c r="X821" s="6"/>
    </row>
    <row r="822" hidden="1">
      <c r="A822" s="6"/>
      <c r="B822" s="6"/>
      <c r="C822" s="6"/>
      <c r="D822" s="6"/>
      <c r="E822" s="6"/>
      <c r="F822" s="6"/>
      <c r="G822" s="6" t="str">
        <f>IFERROR(__xludf.DUMMYFUNCTION("""COMPUTED_VALUE"""),"")</f>
        <v/>
      </c>
      <c r="H822" s="6"/>
      <c r="I822" s="6"/>
      <c r="J822" s="6"/>
      <c r="K822" s="6"/>
      <c r="L822" s="6"/>
      <c r="M822" s="6"/>
      <c r="N822" s="6"/>
      <c r="O822" s="6"/>
      <c r="P822" s="6"/>
      <c r="Q822" s="6"/>
      <c r="R822" s="6"/>
      <c r="S822" s="6"/>
      <c r="T822" s="6"/>
      <c r="U822" s="6"/>
      <c r="V822" s="6"/>
      <c r="W822" s="6"/>
      <c r="X822" s="6"/>
    </row>
    <row r="823" hidden="1">
      <c r="A823" s="6"/>
      <c r="B823" s="6"/>
      <c r="C823" s="6"/>
      <c r="D823" s="6"/>
      <c r="E823" s="6"/>
      <c r="F823" s="6"/>
      <c r="G823" s="6" t="str">
        <f>IFERROR(__xludf.DUMMYFUNCTION("""COMPUTED_VALUE"""),"")</f>
        <v/>
      </c>
      <c r="H823" s="6"/>
      <c r="I823" s="6"/>
      <c r="J823" s="6"/>
      <c r="K823" s="6"/>
      <c r="L823" s="6"/>
      <c r="M823" s="6"/>
      <c r="N823" s="6"/>
      <c r="O823" s="6"/>
      <c r="P823" s="6"/>
      <c r="Q823" s="6"/>
      <c r="R823" s="6"/>
      <c r="S823" s="6"/>
      <c r="T823" s="6"/>
      <c r="U823" s="6"/>
      <c r="V823" s="6"/>
      <c r="W823" s="6"/>
      <c r="X823" s="6"/>
    </row>
    <row r="824" hidden="1">
      <c r="A824" s="6"/>
      <c r="B824" s="6"/>
      <c r="C824" s="6"/>
      <c r="D824" s="6"/>
      <c r="E824" s="6"/>
      <c r="F824" s="6"/>
      <c r="G824" s="6" t="str">
        <f>IFERROR(__xludf.DUMMYFUNCTION("""COMPUTED_VALUE"""),"")</f>
        <v/>
      </c>
      <c r="H824" s="6"/>
      <c r="I824" s="6"/>
      <c r="J824" s="6"/>
      <c r="K824" s="6"/>
      <c r="L824" s="6"/>
      <c r="M824" s="6"/>
      <c r="N824" s="6"/>
      <c r="O824" s="6"/>
      <c r="P824" s="6"/>
      <c r="Q824" s="6"/>
      <c r="R824" s="6"/>
      <c r="S824" s="6"/>
      <c r="T824" s="6"/>
      <c r="U824" s="6"/>
      <c r="V824" s="6"/>
      <c r="W824" s="6"/>
      <c r="X824" s="6"/>
    </row>
    <row r="825" hidden="1">
      <c r="A825" s="6"/>
      <c r="B825" s="6"/>
      <c r="C825" s="6"/>
      <c r="D825" s="6"/>
      <c r="E825" s="6"/>
      <c r="F825" s="6"/>
      <c r="G825" s="6" t="str">
        <f>IFERROR(__xludf.DUMMYFUNCTION("""COMPUTED_VALUE"""),"")</f>
        <v/>
      </c>
      <c r="H825" s="6"/>
      <c r="I825" s="6"/>
      <c r="J825" s="6"/>
      <c r="K825" s="6"/>
      <c r="L825" s="6"/>
      <c r="M825" s="6"/>
      <c r="N825" s="6"/>
      <c r="O825" s="6"/>
      <c r="P825" s="6"/>
      <c r="Q825" s="6"/>
      <c r="R825" s="6"/>
      <c r="S825" s="6"/>
      <c r="T825" s="6"/>
      <c r="U825" s="6"/>
      <c r="V825" s="6"/>
      <c r="W825" s="6"/>
      <c r="X825" s="6"/>
    </row>
    <row r="826" hidden="1">
      <c r="A826" s="6"/>
      <c r="B826" s="6"/>
      <c r="C826" s="6"/>
      <c r="D826" s="6"/>
      <c r="E826" s="6"/>
      <c r="F826" s="6"/>
      <c r="G826" s="6" t="str">
        <f>IFERROR(__xludf.DUMMYFUNCTION("""COMPUTED_VALUE"""),"")</f>
        <v/>
      </c>
      <c r="H826" s="6"/>
      <c r="I826" s="6"/>
      <c r="J826" s="6"/>
      <c r="K826" s="6"/>
      <c r="L826" s="6"/>
      <c r="M826" s="6"/>
      <c r="N826" s="6"/>
      <c r="O826" s="6"/>
      <c r="P826" s="6"/>
      <c r="Q826" s="6"/>
      <c r="R826" s="6"/>
      <c r="S826" s="6"/>
      <c r="T826" s="6"/>
      <c r="U826" s="6"/>
      <c r="V826" s="6"/>
      <c r="W826" s="6"/>
      <c r="X826" s="6"/>
    </row>
    <row r="827" hidden="1">
      <c r="A827" s="6"/>
      <c r="B827" s="6"/>
      <c r="C827" s="6"/>
      <c r="D827" s="6"/>
      <c r="E827" s="6"/>
      <c r="F827" s="6"/>
      <c r="G827" s="6" t="str">
        <f>IFERROR(__xludf.DUMMYFUNCTION("""COMPUTED_VALUE"""),"")</f>
        <v/>
      </c>
      <c r="H827" s="6"/>
      <c r="I827" s="6"/>
      <c r="J827" s="6"/>
      <c r="K827" s="6"/>
      <c r="L827" s="6"/>
      <c r="M827" s="6"/>
      <c r="N827" s="6"/>
      <c r="O827" s="6"/>
      <c r="P827" s="6"/>
      <c r="Q827" s="6"/>
      <c r="R827" s="6"/>
      <c r="S827" s="6"/>
      <c r="T827" s="6"/>
      <c r="U827" s="6"/>
      <c r="V827" s="6"/>
      <c r="W827" s="6"/>
      <c r="X827" s="6"/>
    </row>
    <row r="828" hidden="1">
      <c r="A828" s="6"/>
      <c r="B828" s="6"/>
      <c r="C828" s="6"/>
      <c r="D828" s="6"/>
      <c r="E828" s="6"/>
      <c r="F828" s="6"/>
      <c r="G828" s="6" t="str">
        <f>IFERROR(__xludf.DUMMYFUNCTION("""COMPUTED_VALUE"""),"")</f>
        <v/>
      </c>
      <c r="H828" s="6"/>
      <c r="I828" s="6"/>
      <c r="J828" s="6"/>
      <c r="K828" s="6"/>
      <c r="L828" s="6"/>
      <c r="M828" s="6"/>
      <c r="N828" s="6"/>
      <c r="O828" s="6"/>
      <c r="P828" s="6"/>
      <c r="Q828" s="6"/>
      <c r="R828" s="6"/>
      <c r="S828" s="6"/>
      <c r="T828" s="6"/>
      <c r="U828" s="6"/>
      <c r="V828" s="6"/>
      <c r="W828" s="6"/>
      <c r="X828" s="6"/>
    </row>
    <row r="829" hidden="1">
      <c r="A829" s="6"/>
      <c r="B829" s="6"/>
      <c r="C829" s="6"/>
      <c r="D829" s="6"/>
      <c r="E829" s="6"/>
      <c r="F829" s="6"/>
      <c r="G829" s="6" t="str">
        <f>IFERROR(__xludf.DUMMYFUNCTION("""COMPUTED_VALUE"""),"")</f>
        <v/>
      </c>
      <c r="H829" s="6"/>
      <c r="I829" s="6"/>
      <c r="J829" s="6"/>
      <c r="K829" s="6"/>
      <c r="L829" s="6"/>
      <c r="M829" s="6"/>
      <c r="N829" s="6"/>
      <c r="O829" s="6"/>
      <c r="P829" s="6"/>
      <c r="Q829" s="6"/>
      <c r="R829" s="6"/>
      <c r="S829" s="6"/>
      <c r="T829" s="6"/>
      <c r="U829" s="6"/>
      <c r="V829" s="6"/>
      <c r="W829" s="6"/>
      <c r="X829" s="6"/>
    </row>
    <row r="830" hidden="1">
      <c r="A830" s="6"/>
      <c r="B830" s="6"/>
      <c r="C830" s="6"/>
      <c r="D830" s="6"/>
      <c r="E830" s="6"/>
      <c r="F830" s="6"/>
      <c r="G830" s="6" t="str">
        <f>IFERROR(__xludf.DUMMYFUNCTION("""COMPUTED_VALUE"""),"")</f>
        <v/>
      </c>
      <c r="H830" s="6"/>
      <c r="I830" s="6"/>
      <c r="J830" s="6"/>
      <c r="K830" s="6"/>
      <c r="L830" s="6"/>
      <c r="M830" s="6"/>
      <c r="N830" s="6"/>
      <c r="O830" s="6"/>
      <c r="P830" s="6"/>
      <c r="Q830" s="6"/>
      <c r="R830" s="6"/>
      <c r="S830" s="6"/>
      <c r="T830" s="6"/>
      <c r="U830" s="6"/>
      <c r="V830" s="6"/>
      <c r="W830" s="6"/>
      <c r="X830" s="6"/>
    </row>
    <row r="831" hidden="1">
      <c r="A831" s="6"/>
      <c r="B831" s="6"/>
      <c r="C831" s="6"/>
      <c r="D831" s="6"/>
      <c r="E831" s="6"/>
      <c r="F831" s="6"/>
      <c r="G831" s="6" t="str">
        <f>IFERROR(__xludf.DUMMYFUNCTION("""COMPUTED_VALUE"""),"")</f>
        <v/>
      </c>
      <c r="H831" s="6"/>
      <c r="I831" s="6"/>
      <c r="J831" s="6"/>
      <c r="K831" s="6"/>
      <c r="L831" s="6"/>
      <c r="M831" s="6"/>
      <c r="N831" s="6"/>
      <c r="O831" s="6"/>
      <c r="P831" s="6"/>
      <c r="Q831" s="6"/>
      <c r="R831" s="6"/>
      <c r="S831" s="6"/>
      <c r="T831" s="6"/>
      <c r="U831" s="6"/>
      <c r="V831" s="6"/>
      <c r="W831" s="6"/>
      <c r="X831" s="6"/>
    </row>
    <row r="832" hidden="1">
      <c r="A832" s="6"/>
      <c r="B832" s="6"/>
      <c r="C832" s="6"/>
      <c r="D832" s="6"/>
      <c r="E832" s="6"/>
      <c r="F832" s="6"/>
      <c r="G832" s="6" t="str">
        <f>IFERROR(__xludf.DUMMYFUNCTION("""COMPUTED_VALUE"""),"")</f>
        <v/>
      </c>
      <c r="H832" s="6"/>
      <c r="I832" s="6"/>
      <c r="J832" s="6"/>
      <c r="K832" s="6"/>
      <c r="L832" s="6"/>
      <c r="M832" s="6"/>
      <c r="N832" s="6"/>
      <c r="O832" s="6"/>
      <c r="P832" s="6"/>
      <c r="Q832" s="6"/>
      <c r="R832" s="6"/>
      <c r="S832" s="6"/>
      <c r="T832" s="6"/>
      <c r="U832" s="6"/>
      <c r="V832" s="6"/>
      <c r="W832" s="6"/>
      <c r="X832" s="6"/>
    </row>
    <row r="833" hidden="1">
      <c r="A833" s="6"/>
      <c r="B833" s="6"/>
      <c r="C833" s="6"/>
      <c r="D833" s="6"/>
      <c r="E833" s="6"/>
      <c r="F833" s="6"/>
      <c r="G833" s="6" t="str">
        <f>IFERROR(__xludf.DUMMYFUNCTION("""COMPUTED_VALUE"""),"")</f>
        <v/>
      </c>
      <c r="H833" s="6"/>
      <c r="I833" s="6"/>
      <c r="J833" s="6"/>
      <c r="K833" s="6"/>
      <c r="L833" s="6"/>
      <c r="M833" s="6"/>
      <c r="N833" s="6"/>
      <c r="O833" s="6"/>
      <c r="P833" s="6"/>
      <c r="Q833" s="6"/>
      <c r="R833" s="6"/>
      <c r="S833" s="6"/>
      <c r="T833" s="6"/>
      <c r="U833" s="6"/>
      <c r="V833" s="6"/>
      <c r="W833" s="6"/>
      <c r="X833" s="6"/>
    </row>
    <row r="834" hidden="1">
      <c r="A834" s="6"/>
      <c r="B834" s="6"/>
      <c r="C834" s="6"/>
      <c r="D834" s="6"/>
      <c r="E834" s="6"/>
      <c r="F834" s="6"/>
      <c r="G834" s="6" t="str">
        <f>IFERROR(__xludf.DUMMYFUNCTION("""COMPUTED_VALUE"""),"")</f>
        <v/>
      </c>
      <c r="H834" s="6"/>
      <c r="I834" s="6"/>
      <c r="J834" s="6"/>
      <c r="K834" s="6"/>
      <c r="L834" s="6"/>
      <c r="M834" s="6"/>
      <c r="N834" s="6"/>
      <c r="O834" s="6"/>
      <c r="P834" s="6"/>
      <c r="Q834" s="6"/>
      <c r="R834" s="6"/>
      <c r="S834" s="6"/>
      <c r="T834" s="6"/>
      <c r="U834" s="6"/>
      <c r="V834" s="6"/>
      <c r="W834" s="6"/>
      <c r="X834" s="6"/>
    </row>
    <row r="835" hidden="1">
      <c r="A835" s="6"/>
      <c r="B835" s="6"/>
      <c r="C835" s="6"/>
      <c r="D835" s="6"/>
      <c r="E835" s="6"/>
      <c r="F835" s="6"/>
      <c r="G835" s="6" t="str">
        <f>IFERROR(__xludf.DUMMYFUNCTION("""COMPUTED_VALUE"""),"")</f>
        <v/>
      </c>
      <c r="H835" s="6"/>
      <c r="I835" s="6"/>
      <c r="J835" s="6"/>
      <c r="K835" s="6"/>
      <c r="L835" s="6"/>
      <c r="M835" s="6"/>
      <c r="N835" s="6"/>
      <c r="O835" s="6"/>
      <c r="P835" s="6"/>
      <c r="Q835" s="6"/>
      <c r="R835" s="6"/>
      <c r="S835" s="6"/>
      <c r="T835" s="6"/>
      <c r="U835" s="6"/>
      <c r="V835" s="6"/>
      <c r="W835" s="6"/>
      <c r="X835" s="6"/>
    </row>
    <row r="836" hidden="1">
      <c r="A836" s="6"/>
      <c r="B836" s="6"/>
      <c r="C836" s="6"/>
      <c r="D836" s="6"/>
      <c r="E836" s="6"/>
      <c r="F836" s="6"/>
      <c r="G836" s="6" t="str">
        <f>IFERROR(__xludf.DUMMYFUNCTION("""COMPUTED_VALUE"""),"")</f>
        <v/>
      </c>
      <c r="H836" s="6"/>
      <c r="I836" s="6"/>
      <c r="J836" s="6"/>
      <c r="K836" s="6"/>
      <c r="L836" s="6"/>
      <c r="M836" s="6"/>
      <c r="N836" s="6"/>
      <c r="O836" s="6"/>
      <c r="P836" s="6"/>
      <c r="Q836" s="6"/>
      <c r="R836" s="6"/>
      <c r="S836" s="6"/>
      <c r="T836" s="6"/>
      <c r="U836" s="6"/>
      <c r="V836" s="6"/>
      <c r="W836" s="6"/>
      <c r="X836" s="6"/>
    </row>
    <row r="837" hidden="1">
      <c r="A837" s="6"/>
      <c r="B837" s="6"/>
      <c r="C837" s="6"/>
      <c r="D837" s="6"/>
      <c r="E837" s="6"/>
      <c r="F837" s="6"/>
      <c r="G837" s="6" t="str">
        <f>IFERROR(__xludf.DUMMYFUNCTION("""COMPUTED_VALUE"""),"")</f>
        <v/>
      </c>
      <c r="H837" s="6"/>
      <c r="I837" s="6"/>
      <c r="J837" s="6"/>
      <c r="K837" s="6"/>
      <c r="L837" s="6"/>
      <c r="M837" s="6"/>
      <c r="N837" s="6"/>
      <c r="O837" s="6"/>
      <c r="P837" s="6"/>
      <c r="Q837" s="6"/>
      <c r="R837" s="6"/>
      <c r="S837" s="6"/>
      <c r="T837" s="6"/>
      <c r="U837" s="6"/>
      <c r="V837" s="6"/>
      <c r="W837" s="6"/>
      <c r="X837" s="6"/>
    </row>
    <row r="838" hidden="1">
      <c r="A838" s="6"/>
      <c r="B838" s="6"/>
      <c r="C838" s="6"/>
      <c r="D838" s="6"/>
      <c r="E838" s="6"/>
      <c r="F838" s="6"/>
      <c r="G838" s="6" t="str">
        <f>IFERROR(__xludf.DUMMYFUNCTION("""COMPUTED_VALUE"""),"")</f>
        <v/>
      </c>
      <c r="H838" s="6"/>
      <c r="I838" s="6"/>
      <c r="J838" s="6"/>
      <c r="K838" s="6"/>
      <c r="L838" s="6"/>
      <c r="M838" s="6"/>
      <c r="N838" s="6"/>
      <c r="O838" s="6"/>
      <c r="P838" s="6"/>
      <c r="Q838" s="6"/>
      <c r="R838" s="6"/>
      <c r="S838" s="6"/>
      <c r="T838" s="6"/>
      <c r="U838" s="6"/>
      <c r="V838" s="6"/>
      <c r="W838" s="6"/>
      <c r="X838" s="6"/>
    </row>
    <row r="839" hidden="1">
      <c r="A839" s="6"/>
      <c r="B839" s="6"/>
      <c r="C839" s="6"/>
      <c r="D839" s="6"/>
      <c r="E839" s="6"/>
      <c r="F839" s="6"/>
      <c r="G839" s="6" t="str">
        <f>IFERROR(__xludf.DUMMYFUNCTION("""COMPUTED_VALUE"""),"")</f>
        <v/>
      </c>
      <c r="H839" s="6"/>
      <c r="I839" s="6"/>
      <c r="J839" s="6"/>
      <c r="K839" s="6"/>
      <c r="L839" s="6"/>
      <c r="M839" s="6"/>
      <c r="N839" s="6"/>
      <c r="O839" s="6"/>
      <c r="P839" s="6"/>
      <c r="Q839" s="6"/>
      <c r="R839" s="6"/>
      <c r="S839" s="6"/>
      <c r="T839" s="6"/>
      <c r="U839" s="6"/>
      <c r="V839" s="6"/>
      <c r="W839" s="6"/>
      <c r="X839" s="6"/>
    </row>
    <row r="840" hidden="1">
      <c r="A840" s="6"/>
      <c r="B840" s="6"/>
      <c r="C840" s="6"/>
      <c r="D840" s="6"/>
      <c r="E840" s="6"/>
      <c r="F840" s="6"/>
      <c r="G840" s="6" t="str">
        <f>IFERROR(__xludf.DUMMYFUNCTION("""COMPUTED_VALUE"""),"")</f>
        <v/>
      </c>
      <c r="H840" s="6"/>
      <c r="I840" s="6"/>
      <c r="J840" s="6"/>
      <c r="K840" s="6"/>
      <c r="L840" s="6"/>
      <c r="M840" s="6"/>
      <c r="N840" s="6"/>
      <c r="O840" s="6"/>
      <c r="P840" s="6"/>
      <c r="Q840" s="6"/>
      <c r="R840" s="6"/>
      <c r="S840" s="6"/>
      <c r="T840" s="6"/>
      <c r="U840" s="6"/>
      <c r="V840" s="6"/>
      <c r="W840" s="6"/>
      <c r="X840" s="6"/>
    </row>
    <row r="841" hidden="1">
      <c r="A841" s="6"/>
      <c r="B841" s="6"/>
      <c r="C841" s="6"/>
      <c r="D841" s="6"/>
      <c r="E841" s="6"/>
      <c r="F841" s="6"/>
      <c r="G841" s="6" t="str">
        <f>IFERROR(__xludf.DUMMYFUNCTION("""COMPUTED_VALUE"""),"")</f>
        <v/>
      </c>
      <c r="H841" s="6"/>
      <c r="I841" s="6"/>
      <c r="J841" s="6"/>
      <c r="K841" s="6"/>
      <c r="L841" s="6"/>
      <c r="M841" s="6"/>
      <c r="N841" s="6"/>
      <c r="O841" s="6"/>
      <c r="P841" s="6"/>
      <c r="Q841" s="6"/>
      <c r="R841" s="6"/>
      <c r="S841" s="6"/>
      <c r="T841" s="6"/>
      <c r="U841" s="6"/>
      <c r="V841" s="6"/>
      <c r="W841" s="6"/>
      <c r="X841" s="6"/>
    </row>
    <row r="842" hidden="1">
      <c r="A842" s="6"/>
      <c r="B842" s="6"/>
      <c r="C842" s="6"/>
      <c r="D842" s="6"/>
      <c r="E842" s="6"/>
      <c r="F842" s="6"/>
      <c r="G842" s="6" t="str">
        <f>IFERROR(__xludf.DUMMYFUNCTION("""COMPUTED_VALUE"""),"")</f>
        <v/>
      </c>
      <c r="H842" s="6"/>
      <c r="I842" s="6"/>
      <c r="J842" s="6"/>
      <c r="K842" s="6"/>
      <c r="L842" s="6"/>
      <c r="M842" s="6"/>
      <c r="N842" s="6"/>
      <c r="O842" s="6"/>
      <c r="P842" s="6"/>
      <c r="Q842" s="6"/>
      <c r="R842" s="6"/>
      <c r="S842" s="6"/>
      <c r="T842" s="6"/>
      <c r="U842" s="6"/>
      <c r="V842" s="6"/>
      <c r="W842" s="6"/>
      <c r="X842" s="6"/>
    </row>
    <row r="843" hidden="1">
      <c r="A843" s="6"/>
      <c r="B843" s="6"/>
      <c r="C843" s="6"/>
      <c r="D843" s="6"/>
      <c r="E843" s="6"/>
      <c r="F843" s="6"/>
      <c r="G843" s="6" t="str">
        <f>IFERROR(__xludf.DUMMYFUNCTION("""COMPUTED_VALUE"""),"")</f>
        <v/>
      </c>
      <c r="H843" s="6"/>
      <c r="I843" s="6"/>
      <c r="J843" s="6"/>
      <c r="K843" s="6"/>
      <c r="L843" s="6"/>
      <c r="M843" s="6"/>
      <c r="N843" s="6"/>
      <c r="O843" s="6"/>
      <c r="P843" s="6"/>
      <c r="Q843" s="6"/>
      <c r="R843" s="6"/>
      <c r="S843" s="6"/>
      <c r="T843" s="6"/>
      <c r="U843" s="6"/>
      <c r="V843" s="6"/>
      <c r="W843" s="6"/>
      <c r="X843" s="6"/>
    </row>
    <row r="844" hidden="1">
      <c r="A844" s="6"/>
      <c r="B844" s="6"/>
      <c r="C844" s="6"/>
      <c r="D844" s="6"/>
      <c r="E844" s="6"/>
      <c r="F844" s="6"/>
      <c r="G844" s="6" t="str">
        <f>IFERROR(__xludf.DUMMYFUNCTION("""COMPUTED_VALUE"""),"")</f>
        <v/>
      </c>
      <c r="H844" s="6"/>
      <c r="I844" s="6"/>
      <c r="J844" s="6"/>
      <c r="K844" s="6"/>
      <c r="L844" s="6"/>
      <c r="M844" s="6"/>
      <c r="N844" s="6"/>
      <c r="O844" s="6"/>
      <c r="P844" s="6"/>
      <c r="Q844" s="6"/>
      <c r="R844" s="6"/>
      <c r="S844" s="6"/>
      <c r="T844" s="6"/>
      <c r="U844" s="6"/>
      <c r="V844" s="6"/>
      <c r="W844" s="6"/>
      <c r="X844" s="6"/>
    </row>
    <row r="845" hidden="1">
      <c r="A845" s="6"/>
      <c r="B845" s="6"/>
      <c r="C845" s="6"/>
      <c r="D845" s="6"/>
      <c r="E845" s="6"/>
      <c r="F845" s="6"/>
      <c r="G845" s="6" t="str">
        <f>IFERROR(__xludf.DUMMYFUNCTION("""COMPUTED_VALUE"""),"")</f>
        <v/>
      </c>
      <c r="H845" s="6"/>
      <c r="I845" s="6"/>
      <c r="J845" s="6"/>
      <c r="K845" s="6"/>
      <c r="L845" s="6"/>
      <c r="M845" s="6"/>
      <c r="N845" s="6"/>
      <c r="O845" s="6"/>
      <c r="P845" s="6"/>
      <c r="Q845" s="6"/>
      <c r="R845" s="6"/>
      <c r="S845" s="6"/>
      <c r="T845" s="6"/>
      <c r="U845" s="6"/>
      <c r="V845" s="6"/>
      <c r="W845" s="6"/>
      <c r="X845" s="6"/>
    </row>
    <row r="846" hidden="1">
      <c r="A846" s="6"/>
      <c r="B846" s="6"/>
      <c r="C846" s="6"/>
      <c r="D846" s="6"/>
      <c r="E846" s="6"/>
      <c r="F846" s="6"/>
      <c r="G846" s="6" t="str">
        <f>IFERROR(__xludf.DUMMYFUNCTION("""COMPUTED_VALUE"""),"")</f>
        <v/>
      </c>
      <c r="H846" s="6"/>
      <c r="I846" s="6"/>
      <c r="J846" s="6"/>
      <c r="K846" s="6"/>
      <c r="L846" s="6"/>
      <c r="M846" s="6"/>
      <c r="N846" s="6"/>
      <c r="O846" s="6"/>
      <c r="P846" s="6"/>
      <c r="Q846" s="6"/>
      <c r="R846" s="6"/>
      <c r="S846" s="6"/>
      <c r="T846" s="6"/>
      <c r="U846" s="6"/>
      <c r="V846" s="6"/>
      <c r="W846" s="6"/>
      <c r="X846" s="6"/>
    </row>
    <row r="847" hidden="1">
      <c r="A847" s="6"/>
      <c r="B847" s="6"/>
      <c r="C847" s="6"/>
      <c r="D847" s="6"/>
      <c r="E847" s="6"/>
      <c r="F847" s="6"/>
      <c r="G847" s="6" t="str">
        <f>IFERROR(__xludf.DUMMYFUNCTION("""COMPUTED_VALUE"""),"")</f>
        <v/>
      </c>
      <c r="H847" s="6"/>
      <c r="I847" s="6"/>
      <c r="J847" s="6"/>
      <c r="K847" s="6"/>
      <c r="L847" s="6"/>
      <c r="M847" s="6"/>
      <c r="N847" s="6"/>
      <c r="O847" s="6"/>
      <c r="P847" s="6"/>
      <c r="Q847" s="6"/>
      <c r="R847" s="6"/>
      <c r="S847" s="6"/>
      <c r="T847" s="6"/>
      <c r="U847" s="6"/>
      <c r="V847" s="6"/>
      <c r="W847" s="6"/>
      <c r="X847" s="6"/>
    </row>
    <row r="848" hidden="1">
      <c r="A848" s="6"/>
      <c r="B848" s="6"/>
      <c r="C848" s="6"/>
      <c r="D848" s="6"/>
      <c r="E848" s="6"/>
      <c r="F848" s="6"/>
      <c r="G848" s="6" t="str">
        <f>IFERROR(__xludf.DUMMYFUNCTION("""COMPUTED_VALUE"""),"")</f>
        <v/>
      </c>
      <c r="H848" s="6"/>
      <c r="I848" s="6"/>
      <c r="J848" s="6"/>
      <c r="K848" s="6"/>
      <c r="L848" s="6"/>
      <c r="M848" s="6"/>
      <c r="N848" s="6"/>
      <c r="O848" s="6"/>
      <c r="P848" s="6"/>
      <c r="Q848" s="6"/>
      <c r="R848" s="6"/>
      <c r="S848" s="6"/>
      <c r="T848" s="6"/>
      <c r="U848" s="6"/>
      <c r="V848" s="6"/>
      <c r="W848" s="6"/>
      <c r="X848" s="6"/>
    </row>
    <row r="849" hidden="1">
      <c r="A849" s="6"/>
      <c r="B849" s="6"/>
      <c r="C849" s="6"/>
      <c r="D849" s="6"/>
      <c r="E849" s="6"/>
      <c r="F849" s="6"/>
      <c r="G849" s="6" t="str">
        <f>IFERROR(__xludf.DUMMYFUNCTION("""COMPUTED_VALUE"""),"")</f>
        <v/>
      </c>
      <c r="H849" s="6"/>
      <c r="I849" s="6"/>
      <c r="J849" s="6"/>
      <c r="K849" s="6"/>
      <c r="L849" s="6"/>
      <c r="M849" s="6"/>
      <c r="N849" s="6"/>
      <c r="O849" s="6"/>
      <c r="P849" s="6"/>
      <c r="Q849" s="6"/>
      <c r="R849" s="6"/>
      <c r="S849" s="6"/>
      <c r="T849" s="6"/>
      <c r="U849" s="6"/>
      <c r="V849" s="6"/>
      <c r="W849" s="6"/>
      <c r="X849" s="6"/>
    </row>
    <row r="850" hidden="1">
      <c r="A850" s="6"/>
      <c r="B850" s="6"/>
      <c r="C850" s="6"/>
      <c r="D850" s="6"/>
      <c r="E850" s="6"/>
      <c r="F850" s="6"/>
      <c r="G850" s="6" t="str">
        <f>IFERROR(__xludf.DUMMYFUNCTION("""COMPUTED_VALUE"""),"")</f>
        <v/>
      </c>
      <c r="H850" s="6"/>
      <c r="I850" s="6"/>
      <c r="J850" s="6"/>
      <c r="K850" s="6"/>
      <c r="L850" s="6"/>
      <c r="M850" s="6"/>
      <c r="N850" s="6"/>
      <c r="O850" s="6"/>
      <c r="P850" s="6"/>
      <c r="Q850" s="6"/>
      <c r="R850" s="6"/>
      <c r="S850" s="6"/>
      <c r="T850" s="6"/>
      <c r="U850" s="6"/>
      <c r="V850" s="6"/>
      <c r="W850" s="6"/>
      <c r="X850" s="6"/>
    </row>
    <row r="851" hidden="1">
      <c r="A851" s="6"/>
      <c r="B851" s="6"/>
      <c r="C851" s="6"/>
      <c r="D851" s="6"/>
      <c r="E851" s="6"/>
      <c r="F851" s="6"/>
      <c r="G851" s="6" t="str">
        <f>IFERROR(__xludf.DUMMYFUNCTION("""COMPUTED_VALUE"""),"")</f>
        <v/>
      </c>
      <c r="H851" s="6"/>
      <c r="I851" s="6"/>
      <c r="J851" s="6"/>
      <c r="K851" s="6"/>
      <c r="L851" s="6"/>
      <c r="M851" s="6"/>
      <c r="N851" s="6"/>
      <c r="O851" s="6"/>
      <c r="P851" s="6"/>
      <c r="Q851" s="6"/>
      <c r="R851" s="6"/>
      <c r="S851" s="6"/>
      <c r="T851" s="6"/>
      <c r="U851" s="6"/>
      <c r="V851" s="6"/>
      <c r="W851" s="6"/>
      <c r="X851" s="6"/>
    </row>
    <row r="852" hidden="1">
      <c r="A852" s="6"/>
      <c r="B852" s="6"/>
      <c r="C852" s="6"/>
      <c r="D852" s="6"/>
      <c r="E852" s="6"/>
      <c r="F852" s="6"/>
      <c r="G852" s="6" t="str">
        <f>IFERROR(__xludf.DUMMYFUNCTION("""COMPUTED_VALUE"""),"")</f>
        <v/>
      </c>
      <c r="H852" s="6"/>
      <c r="I852" s="6"/>
      <c r="J852" s="6"/>
      <c r="K852" s="6"/>
      <c r="L852" s="6"/>
      <c r="M852" s="6"/>
      <c r="N852" s="6"/>
      <c r="O852" s="6"/>
      <c r="P852" s="6"/>
      <c r="Q852" s="6"/>
      <c r="R852" s="6"/>
      <c r="S852" s="6"/>
      <c r="T852" s="6"/>
      <c r="U852" s="6"/>
      <c r="V852" s="6"/>
      <c r="W852" s="6"/>
      <c r="X852" s="6"/>
    </row>
    <row r="853" hidden="1">
      <c r="A853" s="6"/>
      <c r="B853" s="6"/>
      <c r="C853" s="6"/>
      <c r="D853" s="6"/>
      <c r="E853" s="6"/>
      <c r="F853" s="6"/>
      <c r="G853" s="6" t="str">
        <f>IFERROR(__xludf.DUMMYFUNCTION("""COMPUTED_VALUE"""),"")</f>
        <v/>
      </c>
      <c r="H853" s="6"/>
      <c r="I853" s="6"/>
      <c r="J853" s="6"/>
      <c r="K853" s="6"/>
      <c r="L853" s="6"/>
      <c r="M853" s="6"/>
      <c r="N853" s="6"/>
      <c r="O853" s="6"/>
      <c r="P853" s="6"/>
      <c r="Q853" s="6"/>
      <c r="R853" s="6"/>
      <c r="S853" s="6"/>
      <c r="T853" s="6"/>
      <c r="U853" s="6"/>
      <c r="V853" s="6"/>
      <c r="W853" s="6"/>
      <c r="X853" s="6"/>
    </row>
    <row r="854" hidden="1">
      <c r="A854" s="6"/>
      <c r="B854" s="6"/>
      <c r="C854" s="6"/>
      <c r="D854" s="6"/>
      <c r="E854" s="6"/>
      <c r="F854" s="6"/>
      <c r="G854" s="6" t="str">
        <f>IFERROR(__xludf.DUMMYFUNCTION("""COMPUTED_VALUE"""),"")</f>
        <v/>
      </c>
      <c r="H854" s="6"/>
      <c r="I854" s="6"/>
      <c r="J854" s="6"/>
      <c r="K854" s="6"/>
      <c r="L854" s="6"/>
      <c r="M854" s="6"/>
      <c r="N854" s="6"/>
      <c r="O854" s="6"/>
      <c r="P854" s="6"/>
      <c r="Q854" s="6"/>
      <c r="R854" s="6"/>
      <c r="S854" s="6"/>
      <c r="T854" s="6"/>
      <c r="U854" s="6"/>
      <c r="V854" s="6"/>
      <c r="W854" s="6"/>
      <c r="X854" s="6"/>
    </row>
    <row r="855" hidden="1">
      <c r="A855" s="6"/>
      <c r="B855" s="6"/>
      <c r="C855" s="6"/>
      <c r="D855" s="6"/>
      <c r="E855" s="6"/>
      <c r="F855" s="6"/>
      <c r="G855" s="6" t="str">
        <f>IFERROR(__xludf.DUMMYFUNCTION("""COMPUTED_VALUE"""),"")</f>
        <v/>
      </c>
      <c r="H855" s="6"/>
      <c r="I855" s="6"/>
      <c r="J855" s="6"/>
      <c r="K855" s="6"/>
      <c r="L855" s="6"/>
      <c r="M855" s="6"/>
      <c r="N855" s="6"/>
      <c r="O855" s="6"/>
      <c r="P855" s="6"/>
      <c r="Q855" s="6"/>
      <c r="R855" s="6"/>
      <c r="S855" s="6"/>
      <c r="T855" s="6"/>
      <c r="U855" s="6"/>
      <c r="V855" s="6"/>
      <c r="W855" s="6"/>
      <c r="X855" s="6"/>
    </row>
    <row r="856" hidden="1">
      <c r="A856" s="6"/>
      <c r="B856" s="6"/>
      <c r="C856" s="6"/>
      <c r="D856" s="6"/>
      <c r="E856" s="6"/>
      <c r="F856" s="6"/>
      <c r="G856" s="6" t="str">
        <f>IFERROR(__xludf.DUMMYFUNCTION("""COMPUTED_VALUE"""),"")</f>
        <v/>
      </c>
      <c r="H856" s="6"/>
      <c r="I856" s="6"/>
      <c r="J856" s="6"/>
      <c r="K856" s="6"/>
      <c r="L856" s="6"/>
      <c r="M856" s="6"/>
      <c r="N856" s="6"/>
      <c r="O856" s="6"/>
      <c r="P856" s="6"/>
      <c r="Q856" s="6"/>
      <c r="R856" s="6"/>
      <c r="S856" s="6"/>
      <c r="T856" s="6"/>
      <c r="U856" s="6"/>
      <c r="V856" s="6"/>
      <c r="W856" s="6"/>
      <c r="X856" s="6"/>
    </row>
    <row r="857" hidden="1">
      <c r="A857" s="6"/>
      <c r="B857" s="6"/>
      <c r="C857" s="6"/>
      <c r="D857" s="6"/>
      <c r="E857" s="6"/>
      <c r="F857" s="6"/>
      <c r="G857" s="6" t="str">
        <f>IFERROR(__xludf.DUMMYFUNCTION("""COMPUTED_VALUE"""),"")</f>
        <v/>
      </c>
      <c r="H857" s="6"/>
      <c r="I857" s="6"/>
      <c r="J857" s="6"/>
      <c r="K857" s="6"/>
      <c r="L857" s="6"/>
      <c r="M857" s="6"/>
      <c r="N857" s="6"/>
      <c r="O857" s="6"/>
      <c r="P857" s="6"/>
      <c r="Q857" s="6"/>
      <c r="R857" s="6"/>
      <c r="S857" s="6"/>
      <c r="T857" s="6"/>
      <c r="U857" s="6"/>
      <c r="V857" s="6"/>
      <c r="W857" s="6"/>
      <c r="X857" s="6"/>
    </row>
    <row r="858" hidden="1">
      <c r="A858" s="6"/>
      <c r="B858" s="6"/>
      <c r="C858" s="6"/>
      <c r="D858" s="6"/>
      <c r="E858" s="6"/>
      <c r="F858" s="6"/>
      <c r="G858" s="6" t="str">
        <f>IFERROR(__xludf.DUMMYFUNCTION("""COMPUTED_VALUE"""),"")</f>
        <v/>
      </c>
      <c r="H858" s="6"/>
      <c r="I858" s="6"/>
      <c r="J858" s="6"/>
      <c r="K858" s="6"/>
      <c r="L858" s="6"/>
      <c r="M858" s="6"/>
      <c r="N858" s="6"/>
      <c r="O858" s="6"/>
      <c r="P858" s="6"/>
      <c r="Q858" s="6"/>
      <c r="R858" s="6"/>
      <c r="S858" s="6"/>
      <c r="T858" s="6"/>
      <c r="U858" s="6"/>
      <c r="V858" s="6"/>
      <c r="W858" s="6"/>
      <c r="X858" s="6"/>
    </row>
    <row r="859" hidden="1">
      <c r="A859" s="6"/>
      <c r="B859" s="6"/>
      <c r="C859" s="6"/>
      <c r="D859" s="6"/>
      <c r="E859" s="6"/>
      <c r="F859" s="6"/>
      <c r="G859" s="6" t="str">
        <f>IFERROR(__xludf.DUMMYFUNCTION("""COMPUTED_VALUE"""),"")</f>
        <v/>
      </c>
      <c r="H859" s="6"/>
      <c r="I859" s="6"/>
      <c r="J859" s="6"/>
      <c r="K859" s="6"/>
      <c r="L859" s="6"/>
      <c r="M859" s="6"/>
      <c r="N859" s="6"/>
      <c r="O859" s="6"/>
      <c r="P859" s="6"/>
      <c r="Q859" s="6"/>
      <c r="R859" s="6"/>
      <c r="S859" s="6"/>
      <c r="T859" s="6"/>
      <c r="U859" s="6"/>
      <c r="V859" s="6"/>
      <c r="W859" s="6"/>
      <c r="X859" s="6"/>
    </row>
    <row r="860" hidden="1">
      <c r="A860" s="6"/>
      <c r="B860" s="6"/>
      <c r="C860" s="6"/>
      <c r="D860" s="6"/>
      <c r="E860" s="6"/>
      <c r="F860" s="6"/>
      <c r="G860" s="6" t="str">
        <f>IFERROR(__xludf.DUMMYFUNCTION("""COMPUTED_VALUE"""),"")</f>
        <v/>
      </c>
      <c r="H860" s="6"/>
      <c r="I860" s="6"/>
      <c r="J860" s="6"/>
      <c r="K860" s="6"/>
      <c r="L860" s="6"/>
      <c r="M860" s="6"/>
      <c r="N860" s="6"/>
      <c r="O860" s="6"/>
      <c r="P860" s="6"/>
      <c r="Q860" s="6"/>
      <c r="R860" s="6"/>
      <c r="S860" s="6"/>
      <c r="T860" s="6"/>
      <c r="U860" s="6"/>
      <c r="V860" s="6"/>
      <c r="W860" s="6"/>
      <c r="X860" s="6"/>
    </row>
    <row r="861" hidden="1">
      <c r="A861" s="6"/>
      <c r="B861" s="6"/>
      <c r="C861" s="6"/>
      <c r="D861" s="6"/>
      <c r="E861" s="6"/>
      <c r="F861" s="6"/>
      <c r="G861" s="6" t="str">
        <f>IFERROR(__xludf.DUMMYFUNCTION("""COMPUTED_VALUE"""),"")</f>
        <v/>
      </c>
      <c r="H861" s="6"/>
      <c r="I861" s="6"/>
      <c r="J861" s="6"/>
      <c r="K861" s="6"/>
      <c r="L861" s="6"/>
      <c r="M861" s="6"/>
      <c r="N861" s="6"/>
      <c r="O861" s="6"/>
      <c r="P861" s="6"/>
      <c r="Q861" s="6"/>
      <c r="R861" s="6"/>
      <c r="S861" s="6"/>
      <c r="T861" s="6"/>
      <c r="U861" s="6"/>
      <c r="V861" s="6"/>
      <c r="W861" s="6"/>
      <c r="X861" s="6"/>
    </row>
    <row r="862" hidden="1">
      <c r="A862" s="6"/>
      <c r="B862" s="6"/>
      <c r="C862" s="6"/>
      <c r="D862" s="6"/>
      <c r="E862" s="6"/>
      <c r="F862" s="6"/>
      <c r="G862" s="6" t="str">
        <f>IFERROR(__xludf.DUMMYFUNCTION("""COMPUTED_VALUE"""),"")</f>
        <v/>
      </c>
      <c r="H862" s="6"/>
      <c r="I862" s="6"/>
      <c r="J862" s="6"/>
      <c r="K862" s="6"/>
      <c r="L862" s="6"/>
      <c r="M862" s="6"/>
      <c r="N862" s="6"/>
      <c r="O862" s="6"/>
      <c r="P862" s="6"/>
      <c r="Q862" s="6"/>
      <c r="R862" s="6"/>
      <c r="S862" s="6"/>
      <c r="T862" s="6"/>
      <c r="U862" s="6"/>
      <c r="V862" s="6"/>
      <c r="W862" s="6"/>
      <c r="X862" s="6"/>
    </row>
    <row r="863" hidden="1">
      <c r="A863" s="6"/>
      <c r="B863" s="6"/>
      <c r="C863" s="6"/>
      <c r="D863" s="6"/>
      <c r="E863" s="6"/>
      <c r="F863" s="6"/>
      <c r="G863" s="6" t="str">
        <f>IFERROR(__xludf.DUMMYFUNCTION("""COMPUTED_VALUE"""),"")</f>
        <v/>
      </c>
      <c r="H863" s="6"/>
      <c r="I863" s="6"/>
      <c r="J863" s="6"/>
      <c r="K863" s="6"/>
      <c r="L863" s="6"/>
      <c r="M863" s="6"/>
      <c r="N863" s="6"/>
      <c r="O863" s="6"/>
      <c r="P863" s="6"/>
      <c r="Q863" s="6"/>
      <c r="R863" s="6"/>
      <c r="S863" s="6"/>
      <c r="T863" s="6"/>
      <c r="U863" s="6"/>
      <c r="V863" s="6"/>
      <c r="W863" s="6"/>
      <c r="X863" s="6"/>
    </row>
    <row r="864" hidden="1">
      <c r="A864" s="6"/>
      <c r="B864" s="6"/>
      <c r="C864" s="6"/>
      <c r="D864" s="6"/>
      <c r="E864" s="6"/>
      <c r="F864" s="6"/>
      <c r="G864" s="6" t="str">
        <f>IFERROR(__xludf.DUMMYFUNCTION("""COMPUTED_VALUE"""),"")</f>
        <v/>
      </c>
      <c r="H864" s="6"/>
      <c r="I864" s="6"/>
      <c r="J864" s="6"/>
      <c r="K864" s="6"/>
      <c r="L864" s="6"/>
      <c r="M864" s="6"/>
      <c r="N864" s="6"/>
      <c r="O864" s="6"/>
      <c r="P864" s="6"/>
      <c r="Q864" s="6"/>
      <c r="R864" s="6"/>
      <c r="S864" s="6"/>
      <c r="T864" s="6"/>
      <c r="U864" s="6"/>
      <c r="V864" s="6"/>
      <c r="W864" s="6"/>
      <c r="X864" s="6"/>
    </row>
    <row r="865" hidden="1">
      <c r="A865" s="6"/>
      <c r="B865" s="6"/>
      <c r="C865" s="6"/>
      <c r="D865" s="6"/>
      <c r="E865" s="6"/>
      <c r="F865" s="6"/>
      <c r="G865" s="6" t="str">
        <f>IFERROR(__xludf.DUMMYFUNCTION("""COMPUTED_VALUE"""),"")</f>
        <v/>
      </c>
      <c r="H865" s="6"/>
      <c r="I865" s="6"/>
      <c r="J865" s="6"/>
      <c r="K865" s="6"/>
      <c r="L865" s="6"/>
      <c r="M865" s="6"/>
      <c r="N865" s="6"/>
      <c r="O865" s="6"/>
      <c r="P865" s="6"/>
      <c r="Q865" s="6"/>
      <c r="R865" s="6"/>
      <c r="S865" s="6"/>
      <c r="T865" s="6"/>
      <c r="U865" s="6"/>
      <c r="V865" s="6"/>
      <c r="W865" s="6"/>
      <c r="X865" s="6"/>
    </row>
    <row r="866" hidden="1">
      <c r="A866" s="6"/>
      <c r="B866" s="6"/>
      <c r="C866" s="6"/>
      <c r="D866" s="6"/>
      <c r="E866" s="6"/>
      <c r="F866" s="6"/>
      <c r="G866" s="6" t="str">
        <f>IFERROR(__xludf.DUMMYFUNCTION("""COMPUTED_VALUE"""),"")</f>
        <v/>
      </c>
      <c r="H866" s="6"/>
      <c r="I866" s="6"/>
      <c r="J866" s="6"/>
      <c r="K866" s="6"/>
      <c r="L866" s="6"/>
      <c r="M866" s="6"/>
      <c r="N866" s="6"/>
      <c r="O866" s="6"/>
      <c r="P866" s="6"/>
      <c r="Q866" s="6"/>
      <c r="R866" s="6"/>
      <c r="S866" s="6"/>
      <c r="T866" s="6"/>
      <c r="U866" s="6"/>
      <c r="V866" s="6"/>
      <c r="W866" s="6"/>
      <c r="X866" s="6"/>
    </row>
    <row r="867" hidden="1">
      <c r="A867" s="6"/>
      <c r="B867" s="6"/>
      <c r="C867" s="6"/>
      <c r="D867" s="6"/>
      <c r="E867" s="6"/>
      <c r="F867" s="6"/>
      <c r="G867" s="6" t="str">
        <f>IFERROR(__xludf.DUMMYFUNCTION("""COMPUTED_VALUE"""),"")</f>
        <v/>
      </c>
      <c r="H867" s="6"/>
      <c r="I867" s="6"/>
      <c r="J867" s="6"/>
      <c r="K867" s="6"/>
      <c r="L867" s="6"/>
      <c r="M867" s="6"/>
      <c r="N867" s="6"/>
      <c r="O867" s="6"/>
      <c r="P867" s="6"/>
      <c r="Q867" s="6"/>
      <c r="R867" s="6"/>
      <c r="S867" s="6"/>
      <c r="T867" s="6"/>
      <c r="U867" s="6"/>
      <c r="V867" s="6"/>
      <c r="W867" s="6"/>
      <c r="X867" s="6"/>
    </row>
    <row r="868" hidden="1">
      <c r="A868" s="6"/>
      <c r="B868" s="6"/>
      <c r="C868" s="6"/>
      <c r="D868" s="6"/>
      <c r="E868" s="6"/>
      <c r="F868" s="6"/>
      <c r="G868" s="6" t="str">
        <f>IFERROR(__xludf.DUMMYFUNCTION("""COMPUTED_VALUE"""),"")</f>
        <v/>
      </c>
      <c r="H868" s="6"/>
      <c r="I868" s="6"/>
      <c r="J868" s="6"/>
      <c r="K868" s="6"/>
      <c r="L868" s="6"/>
      <c r="M868" s="6"/>
      <c r="N868" s="6"/>
      <c r="O868" s="6"/>
      <c r="P868" s="6"/>
      <c r="Q868" s="6"/>
      <c r="R868" s="6"/>
      <c r="S868" s="6"/>
      <c r="T868" s="6"/>
      <c r="U868" s="6"/>
      <c r="V868" s="6"/>
      <c r="W868" s="6"/>
      <c r="X868" s="6"/>
    </row>
    <row r="869" hidden="1">
      <c r="A869" s="6"/>
      <c r="B869" s="6"/>
      <c r="C869" s="6"/>
      <c r="D869" s="6"/>
      <c r="E869" s="6"/>
      <c r="F869" s="6"/>
      <c r="G869" s="6" t="str">
        <f>IFERROR(__xludf.DUMMYFUNCTION("""COMPUTED_VALUE"""),"")</f>
        <v/>
      </c>
      <c r="H869" s="6"/>
      <c r="I869" s="6"/>
      <c r="J869" s="6"/>
      <c r="K869" s="6"/>
      <c r="L869" s="6"/>
      <c r="M869" s="6"/>
      <c r="N869" s="6"/>
      <c r="O869" s="6"/>
      <c r="P869" s="6"/>
      <c r="Q869" s="6"/>
      <c r="R869" s="6"/>
      <c r="S869" s="6"/>
      <c r="T869" s="6"/>
      <c r="U869" s="6"/>
      <c r="V869" s="6"/>
      <c r="W869" s="6"/>
      <c r="X869" s="6"/>
    </row>
    <row r="870" hidden="1">
      <c r="A870" s="6"/>
      <c r="B870" s="6"/>
      <c r="C870" s="6"/>
      <c r="D870" s="6"/>
      <c r="E870" s="6"/>
      <c r="F870" s="6"/>
      <c r="G870" s="6" t="str">
        <f>IFERROR(__xludf.DUMMYFUNCTION("""COMPUTED_VALUE"""),"")</f>
        <v/>
      </c>
      <c r="H870" s="6"/>
      <c r="I870" s="6"/>
      <c r="J870" s="6"/>
      <c r="K870" s="6"/>
      <c r="L870" s="6"/>
      <c r="M870" s="6"/>
      <c r="N870" s="6"/>
      <c r="O870" s="6"/>
      <c r="P870" s="6"/>
      <c r="Q870" s="6"/>
      <c r="R870" s="6"/>
      <c r="S870" s="6"/>
      <c r="T870" s="6"/>
      <c r="U870" s="6"/>
      <c r="V870" s="6"/>
      <c r="W870" s="6"/>
      <c r="X870" s="6"/>
    </row>
    <row r="871" hidden="1">
      <c r="A871" s="6"/>
      <c r="B871" s="6"/>
      <c r="C871" s="6"/>
      <c r="D871" s="6"/>
      <c r="E871" s="6"/>
      <c r="F871" s="6"/>
      <c r="G871" s="6" t="str">
        <f>IFERROR(__xludf.DUMMYFUNCTION("""COMPUTED_VALUE"""),"")</f>
        <v/>
      </c>
      <c r="H871" s="6"/>
      <c r="I871" s="6"/>
      <c r="J871" s="6"/>
      <c r="K871" s="6"/>
      <c r="L871" s="6"/>
      <c r="M871" s="6"/>
      <c r="N871" s="6"/>
      <c r="O871" s="6"/>
      <c r="P871" s="6"/>
      <c r="Q871" s="6"/>
      <c r="R871" s="6"/>
      <c r="S871" s="6"/>
      <c r="T871" s="6"/>
      <c r="U871" s="6"/>
      <c r="V871" s="6"/>
      <c r="W871" s="6"/>
      <c r="X871" s="6"/>
    </row>
    <row r="872" hidden="1">
      <c r="A872" s="6"/>
      <c r="B872" s="6"/>
      <c r="C872" s="6"/>
      <c r="D872" s="6"/>
      <c r="E872" s="6"/>
      <c r="F872" s="6"/>
      <c r="G872" s="6" t="str">
        <f>IFERROR(__xludf.DUMMYFUNCTION("""COMPUTED_VALUE"""),"")</f>
        <v/>
      </c>
      <c r="H872" s="6"/>
      <c r="I872" s="6"/>
      <c r="J872" s="6"/>
      <c r="K872" s="6"/>
      <c r="L872" s="6"/>
      <c r="M872" s="6"/>
      <c r="N872" s="6"/>
      <c r="O872" s="6"/>
      <c r="P872" s="6"/>
      <c r="Q872" s="6"/>
      <c r="R872" s="6"/>
      <c r="S872" s="6"/>
      <c r="T872" s="6"/>
      <c r="U872" s="6"/>
      <c r="V872" s="6"/>
      <c r="W872" s="6"/>
      <c r="X872" s="6"/>
    </row>
    <row r="873" hidden="1">
      <c r="A873" s="6"/>
      <c r="B873" s="6"/>
      <c r="C873" s="6"/>
      <c r="D873" s="6"/>
      <c r="E873" s="6"/>
      <c r="F873" s="6"/>
      <c r="G873" s="6" t="str">
        <f>IFERROR(__xludf.DUMMYFUNCTION("""COMPUTED_VALUE"""),"")</f>
        <v/>
      </c>
      <c r="H873" s="6"/>
      <c r="I873" s="6"/>
      <c r="J873" s="6"/>
      <c r="K873" s="6"/>
      <c r="L873" s="6"/>
      <c r="M873" s="6"/>
      <c r="N873" s="6"/>
      <c r="O873" s="6"/>
      <c r="P873" s="6"/>
      <c r="Q873" s="6"/>
      <c r="R873" s="6"/>
      <c r="S873" s="6"/>
      <c r="T873" s="6"/>
      <c r="U873" s="6"/>
      <c r="V873" s="6"/>
      <c r="W873" s="6"/>
      <c r="X873" s="6"/>
    </row>
    <row r="874" hidden="1">
      <c r="A874" s="6"/>
      <c r="B874" s="6"/>
      <c r="C874" s="6"/>
      <c r="D874" s="6"/>
      <c r="E874" s="6"/>
      <c r="F874" s="6"/>
      <c r="G874" s="6" t="str">
        <f>IFERROR(__xludf.DUMMYFUNCTION("""COMPUTED_VALUE"""),"")</f>
        <v/>
      </c>
      <c r="H874" s="6"/>
      <c r="I874" s="6"/>
      <c r="J874" s="6"/>
      <c r="K874" s="6"/>
      <c r="L874" s="6"/>
      <c r="M874" s="6"/>
      <c r="N874" s="6"/>
      <c r="O874" s="6"/>
      <c r="P874" s="6"/>
      <c r="Q874" s="6"/>
      <c r="R874" s="6"/>
      <c r="S874" s="6"/>
      <c r="T874" s="6"/>
      <c r="U874" s="6"/>
      <c r="V874" s="6"/>
      <c r="W874" s="6"/>
      <c r="X874" s="6"/>
    </row>
    <row r="875" hidden="1">
      <c r="A875" s="6"/>
      <c r="B875" s="6"/>
      <c r="C875" s="6"/>
      <c r="D875" s="6"/>
      <c r="E875" s="6"/>
      <c r="F875" s="6"/>
      <c r="G875" s="6" t="str">
        <f>IFERROR(__xludf.DUMMYFUNCTION("""COMPUTED_VALUE"""),"")</f>
        <v/>
      </c>
      <c r="H875" s="6"/>
      <c r="I875" s="6"/>
      <c r="J875" s="6"/>
      <c r="K875" s="6"/>
      <c r="L875" s="6"/>
      <c r="M875" s="6"/>
      <c r="N875" s="6"/>
      <c r="O875" s="6"/>
      <c r="P875" s="6"/>
      <c r="Q875" s="6"/>
      <c r="R875" s="6"/>
      <c r="S875" s="6"/>
      <c r="T875" s="6"/>
      <c r="U875" s="6"/>
      <c r="V875" s="6"/>
      <c r="W875" s="6"/>
      <c r="X875" s="6"/>
    </row>
    <row r="876" hidden="1">
      <c r="A876" s="6"/>
      <c r="B876" s="6"/>
      <c r="C876" s="6"/>
      <c r="D876" s="6"/>
      <c r="E876" s="6"/>
      <c r="F876" s="6"/>
      <c r="G876" s="6" t="str">
        <f>IFERROR(__xludf.DUMMYFUNCTION("""COMPUTED_VALUE"""),"")</f>
        <v/>
      </c>
      <c r="H876" s="6"/>
      <c r="I876" s="6"/>
      <c r="J876" s="6"/>
      <c r="K876" s="6"/>
      <c r="L876" s="6"/>
      <c r="M876" s="6"/>
      <c r="N876" s="6"/>
      <c r="O876" s="6"/>
      <c r="P876" s="6"/>
      <c r="Q876" s="6"/>
      <c r="R876" s="6"/>
      <c r="S876" s="6"/>
      <c r="T876" s="6"/>
      <c r="U876" s="6"/>
      <c r="V876" s="6"/>
      <c r="W876" s="6"/>
      <c r="X876" s="6"/>
    </row>
    <row r="877" hidden="1">
      <c r="A877" s="6"/>
      <c r="B877" s="6"/>
      <c r="C877" s="6"/>
      <c r="D877" s="6"/>
      <c r="E877" s="6"/>
      <c r="F877" s="6"/>
      <c r="G877" s="6" t="str">
        <f>IFERROR(__xludf.DUMMYFUNCTION("""COMPUTED_VALUE"""),"")</f>
        <v/>
      </c>
      <c r="H877" s="6"/>
      <c r="I877" s="6"/>
      <c r="J877" s="6"/>
      <c r="K877" s="6"/>
      <c r="L877" s="6"/>
      <c r="M877" s="6"/>
      <c r="N877" s="6"/>
      <c r="O877" s="6"/>
      <c r="P877" s="6"/>
      <c r="Q877" s="6"/>
      <c r="R877" s="6"/>
      <c r="S877" s="6"/>
      <c r="T877" s="6"/>
      <c r="U877" s="6"/>
      <c r="V877" s="6"/>
      <c r="W877" s="6"/>
      <c r="X877" s="6"/>
    </row>
    <row r="878" hidden="1">
      <c r="A878" s="6"/>
      <c r="B878" s="6"/>
      <c r="C878" s="6"/>
      <c r="D878" s="6"/>
      <c r="E878" s="6"/>
      <c r="F878" s="6"/>
      <c r="G878" s="6" t="str">
        <f>IFERROR(__xludf.DUMMYFUNCTION("""COMPUTED_VALUE"""),"")</f>
        <v/>
      </c>
      <c r="H878" s="6"/>
      <c r="I878" s="6"/>
      <c r="J878" s="6"/>
      <c r="K878" s="6"/>
      <c r="L878" s="6"/>
      <c r="M878" s="6"/>
      <c r="N878" s="6"/>
      <c r="O878" s="6"/>
      <c r="P878" s="6"/>
      <c r="Q878" s="6"/>
      <c r="R878" s="6"/>
      <c r="S878" s="6"/>
      <c r="T878" s="6"/>
      <c r="U878" s="6"/>
      <c r="V878" s="6"/>
      <c r="W878" s="6"/>
      <c r="X878" s="6"/>
    </row>
    <row r="879" hidden="1">
      <c r="A879" s="6"/>
      <c r="B879" s="6"/>
      <c r="C879" s="6"/>
      <c r="D879" s="6"/>
      <c r="E879" s="6"/>
      <c r="F879" s="6"/>
      <c r="G879" s="6" t="str">
        <f>IFERROR(__xludf.DUMMYFUNCTION("""COMPUTED_VALUE"""),"")</f>
        <v/>
      </c>
      <c r="H879" s="6"/>
      <c r="I879" s="6"/>
      <c r="J879" s="6"/>
      <c r="K879" s="6"/>
      <c r="L879" s="6"/>
      <c r="M879" s="6"/>
      <c r="N879" s="6"/>
      <c r="O879" s="6"/>
      <c r="P879" s="6"/>
      <c r="Q879" s="6"/>
      <c r="R879" s="6"/>
      <c r="S879" s="6"/>
      <c r="T879" s="6"/>
      <c r="U879" s="6"/>
      <c r="V879" s="6"/>
      <c r="W879" s="6"/>
      <c r="X879" s="6"/>
    </row>
    <row r="880" hidden="1">
      <c r="A880" s="6"/>
      <c r="B880" s="6"/>
      <c r="C880" s="6"/>
      <c r="D880" s="6"/>
      <c r="E880" s="6"/>
      <c r="F880" s="6"/>
      <c r="G880" s="6" t="str">
        <f>IFERROR(__xludf.DUMMYFUNCTION("""COMPUTED_VALUE"""),"")</f>
        <v/>
      </c>
      <c r="H880" s="6"/>
      <c r="I880" s="6"/>
      <c r="J880" s="6"/>
      <c r="K880" s="6"/>
      <c r="L880" s="6"/>
      <c r="M880" s="6"/>
      <c r="N880" s="6"/>
      <c r="O880" s="6"/>
      <c r="P880" s="6"/>
      <c r="Q880" s="6"/>
      <c r="R880" s="6"/>
      <c r="S880" s="6"/>
      <c r="T880" s="6"/>
      <c r="U880" s="6"/>
      <c r="V880" s="6"/>
      <c r="W880" s="6"/>
      <c r="X880" s="6"/>
    </row>
    <row r="881" hidden="1">
      <c r="A881" s="6"/>
      <c r="B881" s="6"/>
      <c r="C881" s="6"/>
      <c r="D881" s="6"/>
      <c r="E881" s="6"/>
      <c r="F881" s="6"/>
      <c r="G881" s="6" t="str">
        <f>IFERROR(__xludf.DUMMYFUNCTION("""COMPUTED_VALUE"""),"")</f>
        <v/>
      </c>
      <c r="H881" s="6"/>
      <c r="I881" s="6"/>
      <c r="J881" s="6"/>
      <c r="K881" s="6"/>
      <c r="L881" s="6"/>
      <c r="M881" s="6"/>
      <c r="N881" s="6"/>
      <c r="O881" s="6"/>
      <c r="P881" s="6"/>
      <c r="Q881" s="6"/>
      <c r="R881" s="6"/>
      <c r="S881" s="6"/>
      <c r="T881" s="6"/>
      <c r="U881" s="6"/>
      <c r="V881" s="6"/>
      <c r="W881" s="6"/>
      <c r="X881" s="6"/>
    </row>
    <row r="882" hidden="1">
      <c r="A882" s="6"/>
      <c r="B882" s="6"/>
      <c r="C882" s="6"/>
      <c r="D882" s="6"/>
      <c r="E882" s="6"/>
      <c r="F882" s="6"/>
      <c r="G882" s="6" t="str">
        <f>IFERROR(__xludf.DUMMYFUNCTION("""COMPUTED_VALUE"""),"")</f>
        <v/>
      </c>
      <c r="H882" s="6"/>
      <c r="I882" s="6"/>
      <c r="J882" s="6"/>
      <c r="K882" s="6"/>
      <c r="L882" s="6"/>
      <c r="M882" s="6"/>
      <c r="N882" s="6"/>
      <c r="O882" s="6"/>
      <c r="P882" s="6"/>
      <c r="Q882" s="6"/>
      <c r="R882" s="6"/>
      <c r="S882" s="6"/>
      <c r="T882" s="6"/>
      <c r="U882" s="6"/>
      <c r="V882" s="6"/>
      <c r="W882" s="6"/>
      <c r="X882" s="6"/>
    </row>
    <row r="883" hidden="1">
      <c r="A883" s="6"/>
      <c r="B883" s="6"/>
      <c r="C883" s="6"/>
      <c r="D883" s="6"/>
      <c r="E883" s="6"/>
      <c r="F883" s="6"/>
      <c r="G883" s="6" t="str">
        <f>IFERROR(__xludf.DUMMYFUNCTION("""COMPUTED_VALUE"""),"")</f>
        <v/>
      </c>
      <c r="H883" s="6"/>
      <c r="I883" s="6"/>
      <c r="J883" s="6"/>
      <c r="K883" s="6"/>
      <c r="L883" s="6"/>
      <c r="M883" s="6"/>
      <c r="N883" s="6"/>
      <c r="O883" s="6"/>
      <c r="P883" s="6"/>
      <c r="Q883" s="6"/>
      <c r="R883" s="6"/>
      <c r="S883" s="6"/>
      <c r="T883" s="6"/>
      <c r="U883" s="6"/>
      <c r="V883" s="6"/>
      <c r="W883" s="6"/>
      <c r="X883" s="6"/>
    </row>
    <row r="884" hidden="1">
      <c r="A884" s="6"/>
      <c r="B884" s="6"/>
      <c r="C884" s="6"/>
      <c r="D884" s="6"/>
      <c r="E884" s="6"/>
      <c r="F884" s="6"/>
      <c r="G884" s="6" t="str">
        <f>IFERROR(__xludf.DUMMYFUNCTION("""COMPUTED_VALUE"""),"")</f>
        <v/>
      </c>
      <c r="H884" s="6"/>
      <c r="I884" s="6"/>
      <c r="J884" s="6"/>
      <c r="K884" s="6"/>
      <c r="L884" s="6"/>
      <c r="M884" s="6"/>
      <c r="N884" s="6"/>
      <c r="O884" s="6"/>
      <c r="P884" s="6"/>
      <c r="Q884" s="6"/>
      <c r="R884" s="6"/>
      <c r="S884" s="6"/>
      <c r="T884" s="6"/>
      <c r="U884" s="6"/>
      <c r="V884" s="6"/>
      <c r="W884" s="6"/>
      <c r="X884" s="6"/>
    </row>
    <row r="885" hidden="1">
      <c r="A885" s="6"/>
      <c r="B885" s="6"/>
      <c r="C885" s="6"/>
      <c r="D885" s="6"/>
      <c r="E885" s="6"/>
      <c r="F885" s="6"/>
      <c r="G885" s="6" t="str">
        <f>IFERROR(__xludf.DUMMYFUNCTION("""COMPUTED_VALUE"""),"")</f>
        <v/>
      </c>
      <c r="H885" s="6"/>
      <c r="I885" s="6"/>
      <c r="J885" s="6"/>
      <c r="K885" s="6"/>
      <c r="L885" s="6"/>
      <c r="M885" s="6"/>
      <c r="N885" s="6"/>
      <c r="O885" s="6"/>
      <c r="P885" s="6"/>
      <c r="Q885" s="6"/>
      <c r="R885" s="6"/>
      <c r="S885" s="6"/>
      <c r="T885" s="6"/>
      <c r="U885" s="6"/>
      <c r="V885" s="6"/>
      <c r="W885" s="6"/>
      <c r="X885" s="6"/>
    </row>
    <row r="886" hidden="1">
      <c r="A886" s="6"/>
      <c r="B886" s="6"/>
      <c r="C886" s="6"/>
      <c r="D886" s="6"/>
      <c r="E886" s="6"/>
      <c r="F886" s="6"/>
      <c r="G886" s="6" t="str">
        <f>IFERROR(__xludf.DUMMYFUNCTION("""COMPUTED_VALUE"""),"")</f>
        <v/>
      </c>
      <c r="H886" s="6"/>
      <c r="I886" s="6"/>
      <c r="J886" s="6"/>
      <c r="K886" s="6"/>
      <c r="L886" s="6"/>
      <c r="M886" s="6"/>
      <c r="N886" s="6"/>
      <c r="O886" s="6"/>
      <c r="P886" s="6"/>
      <c r="Q886" s="6"/>
      <c r="R886" s="6"/>
      <c r="S886" s="6"/>
      <c r="T886" s="6"/>
      <c r="U886" s="6"/>
      <c r="V886" s="6"/>
      <c r="W886" s="6"/>
      <c r="X886" s="6"/>
    </row>
    <row r="887" hidden="1">
      <c r="A887" s="6"/>
      <c r="B887" s="6"/>
      <c r="C887" s="6"/>
      <c r="D887" s="6"/>
      <c r="E887" s="6"/>
      <c r="F887" s="6"/>
      <c r="G887" s="6" t="str">
        <f>IFERROR(__xludf.DUMMYFUNCTION("""COMPUTED_VALUE"""),"")</f>
        <v/>
      </c>
      <c r="H887" s="6"/>
      <c r="I887" s="6"/>
      <c r="J887" s="6"/>
      <c r="K887" s="6"/>
      <c r="L887" s="6"/>
      <c r="M887" s="6"/>
      <c r="N887" s="6"/>
      <c r="O887" s="6"/>
      <c r="P887" s="6"/>
      <c r="Q887" s="6"/>
      <c r="R887" s="6"/>
      <c r="S887" s="6"/>
      <c r="T887" s="6"/>
      <c r="U887" s="6"/>
      <c r="V887" s="6"/>
      <c r="W887" s="6"/>
      <c r="X887" s="6"/>
    </row>
    <row r="888" hidden="1">
      <c r="A888" s="6"/>
      <c r="B888" s="6"/>
      <c r="C888" s="6"/>
      <c r="D888" s="6"/>
      <c r="E888" s="6"/>
      <c r="F888" s="6"/>
      <c r="G888" s="6" t="str">
        <f>IFERROR(__xludf.DUMMYFUNCTION("""COMPUTED_VALUE"""),"")</f>
        <v/>
      </c>
      <c r="H888" s="6"/>
      <c r="I888" s="6"/>
      <c r="J888" s="6"/>
      <c r="K888" s="6"/>
      <c r="L888" s="6"/>
      <c r="M888" s="6"/>
      <c r="N888" s="6"/>
      <c r="O888" s="6"/>
      <c r="P888" s="6"/>
      <c r="Q888" s="6"/>
      <c r="R888" s="6"/>
      <c r="S888" s="6"/>
      <c r="T888" s="6"/>
      <c r="U888" s="6"/>
      <c r="V888" s="6"/>
      <c r="W888" s="6"/>
      <c r="X888" s="6"/>
    </row>
    <row r="889" hidden="1">
      <c r="A889" s="6"/>
      <c r="B889" s="6"/>
      <c r="C889" s="6"/>
      <c r="D889" s="6"/>
      <c r="E889" s="6"/>
      <c r="F889" s="6"/>
      <c r="G889" s="6" t="str">
        <f>IFERROR(__xludf.DUMMYFUNCTION("""COMPUTED_VALUE"""),"")</f>
        <v/>
      </c>
      <c r="H889" s="6"/>
      <c r="I889" s="6"/>
      <c r="J889" s="6"/>
      <c r="K889" s="6"/>
      <c r="L889" s="6"/>
      <c r="M889" s="6"/>
      <c r="N889" s="6"/>
      <c r="O889" s="6"/>
      <c r="P889" s="6"/>
      <c r="Q889" s="6"/>
      <c r="R889" s="6"/>
      <c r="S889" s="6"/>
      <c r="T889" s="6"/>
      <c r="U889" s="6"/>
      <c r="V889" s="6"/>
      <c r="W889" s="6"/>
      <c r="X889" s="6"/>
    </row>
    <row r="890" hidden="1">
      <c r="A890" s="6"/>
      <c r="B890" s="6"/>
      <c r="C890" s="6"/>
      <c r="D890" s="6"/>
      <c r="E890" s="6"/>
      <c r="F890" s="6"/>
      <c r="G890" s="6" t="str">
        <f>IFERROR(__xludf.DUMMYFUNCTION("""COMPUTED_VALUE"""),"")</f>
        <v/>
      </c>
      <c r="H890" s="6"/>
      <c r="I890" s="6"/>
      <c r="J890" s="6"/>
      <c r="K890" s="6"/>
      <c r="L890" s="6"/>
      <c r="M890" s="6"/>
      <c r="N890" s="6"/>
      <c r="O890" s="6"/>
      <c r="P890" s="6"/>
      <c r="Q890" s="6"/>
      <c r="R890" s="6"/>
      <c r="S890" s="6"/>
      <c r="T890" s="6"/>
      <c r="U890" s="6"/>
      <c r="V890" s="6"/>
      <c r="W890" s="6"/>
      <c r="X890" s="6"/>
    </row>
    <row r="891" hidden="1">
      <c r="A891" s="6"/>
      <c r="B891" s="6"/>
      <c r="C891" s="6"/>
      <c r="D891" s="6"/>
      <c r="E891" s="6"/>
      <c r="F891" s="6"/>
      <c r="G891" s="6" t="str">
        <f>IFERROR(__xludf.DUMMYFUNCTION("""COMPUTED_VALUE"""),"")</f>
        <v/>
      </c>
      <c r="H891" s="6"/>
      <c r="I891" s="6"/>
      <c r="J891" s="6"/>
      <c r="K891" s="6"/>
      <c r="L891" s="6"/>
      <c r="M891" s="6"/>
      <c r="N891" s="6"/>
      <c r="O891" s="6"/>
      <c r="P891" s="6"/>
      <c r="Q891" s="6"/>
      <c r="R891" s="6"/>
      <c r="S891" s="6"/>
      <c r="T891" s="6"/>
      <c r="U891" s="6"/>
      <c r="V891" s="6"/>
      <c r="W891" s="6"/>
      <c r="X891" s="6"/>
    </row>
    <row r="892" hidden="1">
      <c r="A892" s="6"/>
      <c r="B892" s="6"/>
      <c r="C892" s="6"/>
      <c r="D892" s="6"/>
      <c r="E892" s="6"/>
      <c r="F892" s="6"/>
      <c r="G892" s="6" t="str">
        <f>IFERROR(__xludf.DUMMYFUNCTION("""COMPUTED_VALUE"""),"")</f>
        <v/>
      </c>
      <c r="H892" s="6"/>
      <c r="I892" s="6"/>
      <c r="J892" s="6"/>
      <c r="K892" s="6"/>
      <c r="L892" s="6"/>
      <c r="M892" s="6"/>
      <c r="N892" s="6"/>
      <c r="O892" s="6"/>
      <c r="P892" s="6"/>
      <c r="Q892" s="6"/>
      <c r="R892" s="6"/>
      <c r="S892" s="6"/>
      <c r="T892" s="6"/>
      <c r="U892" s="6"/>
      <c r="V892" s="6"/>
      <c r="W892" s="6"/>
      <c r="X892" s="6"/>
    </row>
    <row r="893" hidden="1">
      <c r="A893" s="6"/>
      <c r="B893" s="6"/>
      <c r="C893" s="6"/>
      <c r="D893" s="6"/>
      <c r="E893" s="6"/>
      <c r="F893" s="6"/>
      <c r="G893" s="6" t="str">
        <f>IFERROR(__xludf.DUMMYFUNCTION("""COMPUTED_VALUE"""),"")</f>
        <v/>
      </c>
      <c r="H893" s="6"/>
      <c r="I893" s="6"/>
      <c r="J893" s="6"/>
      <c r="K893" s="6"/>
      <c r="L893" s="6"/>
      <c r="M893" s="6"/>
      <c r="N893" s="6"/>
      <c r="O893" s="6"/>
      <c r="P893" s="6"/>
      <c r="Q893" s="6"/>
      <c r="R893" s="6"/>
      <c r="S893" s="6"/>
      <c r="T893" s="6"/>
      <c r="U893" s="6"/>
      <c r="V893" s="6"/>
      <c r="W893" s="6"/>
      <c r="X893" s="6"/>
    </row>
    <row r="894" hidden="1">
      <c r="A894" s="6"/>
      <c r="B894" s="6"/>
      <c r="C894" s="6"/>
      <c r="D894" s="6"/>
      <c r="E894" s="6"/>
      <c r="F894" s="6"/>
      <c r="G894" s="6" t="str">
        <f>IFERROR(__xludf.DUMMYFUNCTION("""COMPUTED_VALUE"""),"")</f>
        <v/>
      </c>
      <c r="H894" s="6"/>
      <c r="I894" s="6"/>
      <c r="J894" s="6"/>
      <c r="K894" s="6"/>
      <c r="L894" s="6"/>
      <c r="M894" s="6"/>
      <c r="N894" s="6"/>
      <c r="O894" s="6"/>
      <c r="P894" s="6"/>
      <c r="Q894" s="6"/>
      <c r="R894" s="6"/>
      <c r="S894" s="6"/>
      <c r="T894" s="6"/>
      <c r="U894" s="6"/>
      <c r="V894" s="6"/>
      <c r="W894" s="6"/>
      <c r="X894" s="6"/>
    </row>
    <row r="895" hidden="1">
      <c r="A895" s="6"/>
      <c r="B895" s="6"/>
      <c r="C895" s="6"/>
      <c r="D895" s="6"/>
      <c r="E895" s="6"/>
      <c r="F895" s="6"/>
      <c r="G895" s="6" t="str">
        <f>IFERROR(__xludf.DUMMYFUNCTION("""COMPUTED_VALUE"""),"")</f>
        <v/>
      </c>
      <c r="H895" s="6"/>
      <c r="I895" s="6"/>
      <c r="J895" s="6"/>
      <c r="K895" s="6"/>
      <c r="L895" s="6"/>
      <c r="M895" s="6"/>
      <c r="N895" s="6"/>
      <c r="O895" s="6"/>
      <c r="P895" s="6"/>
      <c r="Q895" s="6"/>
      <c r="R895" s="6"/>
      <c r="S895" s="6"/>
      <c r="T895" s="6"/>
      <c r="U895" s="6"/>
      <c r="V895" s="6"/>
      <c r="W895" s="6"/>
      <c r="X895" s="6"/>
    </row>
    <row r="896" hidden="1">
      <c r="A896" s="6"/>
      <c r="B896" s="6"/>
      <c r="C896" s="6"/>
      <c r="D896" s="6"/>
      <c r="E896" s="6"/>
      <c r="F896" s="6"/>
      <c r="G896" s="6" t="str">
        <f>IFERROR(__xludf.DUMMYFUNCTION("""COMPUTED_VALUE"""),"")</f>
        <v/>
      </c>
      <c r="H896" s="6"/>
      <c r="I896" s="6"/>
      <c r="J896" s="6"/>
      <c r="K896" s="6"/>
      <c r="L896" s="6"/>
      <c r="M896" s="6"/>
      <c r="N896" s="6"/>
      <c r="O896" s="6"/>
      <c r="P896" s="6"/>
      <c r="Q896" s="6"/>
      <c r="R896" s="6"/>
      <c r="S896" s="6"/>
      <c r="T896" s="6"/>
      <c r="U896" s="6"/>
      <c r="V896" s="6"/>
      <c r="W896" s="6"/>
      <c r="X896" s="6"/>
    </row>
    <row r="897" hidden="1">
      <c r="A897" s="6"/>
      <c r="B897" s="6"/>
      <c r="C897" s="6"/>
      <c r="D897" s="6"/>
      <c r="E897" s="6"/>
      <c r="F897" s="6"/>
      <c r="G897" s="6" t="str">
        <f>IFERROR(__xludf.DUMMYFUNCTION("""COMPUTED_VALUE"""),"")</f>
        <v/>
      </c>
      <c r="H897" s="6"/>
      <c r="I897" s="6"/>
      <c r="J897" s="6"/>
      <c r="K897" s="6"/>
      <c r="L897" s="6"/>
      <c r="M897" s="6"/>
      <c r="N897" s="6"/>
      <c r="O897" s="6"/>
      <c r="P897" s="6"/>
      <c r="Q897" s="6"/>
      <c r="R897" s="6"/>
      <c r="S897" s="6"/>
      <c r="T897" s="6"/>
      <c r="U897" s="6"/>
      <c r="V897" s="6"/>
      <c r="W897" s="6"/>
      <c r="X897" s="6"/>
    </row>
    <row r="898" hidden="1">
      <c r="A898" s="6"/>
      <c r="B898" s="6"/>
      <c r="C898" s="6"/>
      <c r="D898" s="6"/>
      <c r="E898" s="6"/>
      <c r="F898" s="6"/>
      <c r="G898" s="6" t="str">
        <f>IFERROR(__xludf.DUMMYFUNCTION("""COMPUTED_VALUE"""),"")</f>
        <v/>
      </c>
      <c r="H898" s="6"/>
      <c r="I898" s="6"/>
      <c r="J898" s="6"/>
      <c r="K898" s="6"/>
      <c r="L898" s="6"/>
      <c r="M898" s="6"/>
      <c r="N898" s="6"/>
      <c r="O898" s="6"/>
      <c r="P898" s="6"/>
      <c r="Q898" s="6"/>
      <c r="R898" s="6"/>
      <c r="S898" s="6"/>
      <c r="T898" s="6"/>
      <c r="U898" s="6"/>
      <c r="V898" s="6"/>
      <c r="W898" s="6"/>
      <c r="X898" s="6"/>
    </row>
    <row r="899" hidden="1">
      <c r="A899" s="6"/>
      <c r="B899" s="6"/>
      <c r="C899" s="6"/>
      <c r="D899" s="6"/>
      <c r="E899" s="6"/>
      <c r="F899" s="6"/>
      <c r="G899" s="6" t="str">
        <f>IFERROR(__xludf.DUMMYFUNCTION("""COMPUTED_VALUE"""),"")</f>
        <v/>
      </c>
      <c r="H899" s="6"/>
      <c r="I899" s="6"/>
      <c r="J899" s="6"/>
      <c r="K899" s="6"/>
      <c r="L899" s="6"/>
      <c r="M899" s="6"/>
      <c r="N899" s="6"/>
      <c r="O899" s="6"/>
      <c r="P899" s="6"/>
      <c r="Q899" s="6"/>
      <c r="R899" s="6"/>
      <c r="S899" s="6"/>
      <c r="T899" s="6"/>
      <c r="U899" s="6"/>
      <c r="V899" s="6"/>
      <c r="W899" s="6"/>
      <c r="X899" s="6"/>
    </row>
    <row r="900" hidden="1">
      <c r="A900" s="6"/>
      <c r="B900" s="6"/>
      <c r="C900" s="6"/>
      <c r="D900" s="6"/>
      <c r="E900" s="6"/>
      <c r="F900" s="6"/>
      <c r="G900" s="6" t="str">
        <f>IFERROR(__xludf.DUMMYFUNCTION("""COMPUTED_VALUE"""),"")</f>
        <v/>
      </c>
      <c r="H900" s="6"/>
      <c r="I900" s="6"/>
      <c r="J900" s="6"/>
      <c r="K900" s="6"/>
      <c r="L900" s="6"/>
      <c r="M900" s="6"/>
      <c r="N900" s="6"/>
      <c r="O900" s="6"/>
      <c r="P900" s="6"/>
      <c r="Q900" s="6"/>
      <c r="R900" s="6"/>
      <c r="S900" s="6"/>
      <c r="T900" s="6"/>
      <c r="U900" s="6"/>
      <c r="V900" s="6"/>
      <c r="W900" s="6"/>
      <c r="X900" s="6"/>
    </row>
    <row r="901" hidden="1">
      <c r="A901" s="6"/>
      <c r="B901" s="6"/>
      <c r="C901" s="6"/>
      <c r="D901" s="6"/>
      <c r="E901" s="6"/>
      <c r="F901" s="6"/>
      <c r="G901" s="6" t="str">
        <f>IFERROR(__xludf.DUMMYFUNCTION("""COMPUTED_VALUE"""),"")</f>
        <v/>
      </c>
      <c r="H901" s="6"/>
      <c r="I901" s="6"/>
      <c r="J901" s="6"/>
      <c r="K901" s="6"/>
      <c r="L901" s="6"/>
      <c r="M901" s="6"/>
      <c r="N901" s="6"/>
      <c r="O901" s="6"/>
      <c r="P901" s="6"/>
      <c r="Q901" s="6"/>
      <c r="R901" s="6"/>
      <c r="S901" s="6"/>
      <c r="T901" s="6"/>
      <c r="U901" s="6"/>
      <c r="V901" s="6"/>
      <c r="W901" s="6"/>
      <c r="X901" s="6"/>
    </row>
    <row r="902" hidden="1">
      <c r="A902" s="6"/>
      <c r="B902" s="6"/>
      <c r="C902" s="6"/>
      <c r="D902" s="6"/>
      <c r="E902" s="6"/>
      <c r="F902" s="6"/>
      <c r="G902" s="6" t="str">
        <f>IFERROR(__xludf.DUMMYFUNCTION("""COMPUTED_VALUE"""),"")</f>
        <v/>
      </c>
      <c r="H902" s="6"/>
      <c r="I902" s="6"/>
      <c r="J902" s="6"/>
      <c r="K902" s="6"/>
      <c r="L902" s="6"/>
      <c r="M902" s="6"/>
      <c r="N902" s="6"/>
      <c r="O902" s="6"/>
      <c r="P902" s="6"/>
      <c r="Q902" s="6"/>
      <c r="R902" s="6"/>
      <c r="S902" s="6"/>
      <c r="T902" s="6"/>
      <c r="U902" s="6"/>
      <c r="V902" s="6"/>
      <c r="W902" s="6"/>
      <c r="X902" s="6"/>
    </row>
    <row r="903" hidden="1">
      <c r="A903" s="6"/>
      <c r="B903" s="6"/>
      <c r="C903" s="6"/>
      <c r="D903" s="6"/>
      <c r="E903" s="6"/>
      <c r="F903" s="6"/>
      <c r="G903" s="6" t="str">
        <f>IFERROR(__xludf.DUMMYFUNCTION("""COMPUTED_VALUE"""),"")</f>
        <v/>
      </c>
      <c r="H903" s="6"/>
      <c r="I903" s="6"/>
      <c r="J903" s="6"/>
      <c r="K903" s="6"/>
      <c r="L903" s="6"/>
      <c r="M903" s="6"/>
      <c r="N903" s="6"/>
      <c r="O903" s="6"/>
      <c r="P903" s="6"/>
      <c r="Q903" s="6"/>
      <c r="R903" s="6"/>
      <c r="S903" s="6"/>
      <c r="T903" s="6"/>
      <c r="U903" s="6"/>
      <c r="V903" s="6"/>
      <c r="W903" s="6"/>
      <c r="X903" s="6"/>
    </row>
    <row r="904" hidden="1">
      <c r="A904" s="6"/>
      <c r="B904" s="6"/>
      <c r="C904" s="6"/>
      <c r="D904" s="6"/>
      <c r="E904" s="6"/>
      <c r="F904" s="6"/>
      <c r="G904" s="6" t="str">
        <f>IFERROR(__xludf.DUMMYFUNCTION("""COMPUTED_VALUE"""),"")</f>
        <v/>
      </c>
      <c r="H904" s="6"/>
      <c r="I904" s="6"/>
      <c r="J904" s="6"/>
      <c r="K904" s="6"/>
      <c r="L904" s="6"/>
      <c r="M904" s="6"/>
      <c r="N904" s="6"/>
      <c r="O904" s="6"/>
      <c r="P904" s="6"/>
      <c r="Q904" s="6"/>
      <c r="R904" s="6"/>
      <c r="S904" s="6"/>
      <c r="T904" s="6"/>
      <c r="U904" s="6"/>
      <c r="V904" s="6"/>
      <c r="W904" s="6"/>
      <c r="X904" s="6"/>
    </row>
    <row r="905" hidden="1">
      <c r="A905" s="6"/>
      <c r="B905" s="6"/>
      <c r="C905" s="6"/>
      <c r="D905" s="6"/>
      <c r="E905" s="6"/>
      <c r="F905" s="6"/>
      <c r="G905" s="6" t="str">
        <f>IFERROR(__xludf.DUMMYFUNCTION("""COMPUTED_VALUE"""),"")</f>
        <v/>
      </c>
      <c r="H905" s="6"/>
      <c r="I905" s="6"/>
      <c r="J905" s="6"/>
      <c r="K905" s="6"/>
      <c r="L905" s="6"/>
      <c r="M905" s="6"/>
      <c r="N905" s="6"/>
      <c r="O905" s="6"/>
      <c r="P905" s="6"/>
      <c r="Q905" s="6"/>
      <c r="R905" s="6"/>
      <c r="S905" s="6"/>
      <c r="T905" s="6"/>
      <c r="U905" s="6"/>
      <c r="V905" s="6"/>
      <c r="W905" s="6"/>
      <c r="X905" s="6"/>
    </row>
    <row r="906" hidden="1">
      <c r="A906" s="6"/>
      <c r="B906" s="6"/>
      <c r="C906" s="6"/>
      <c r="D906" s="6"/>
      <c r="E906" s="6"/>
      <c r="F906" s="6"/>
      <c r="G906" s="6" t="str">
        <f>IFERROR(__xludf.DUMMYFUNCTION("""COMPUTED_VALUE"""),"")</f>
        <v/>
      </c>
      <c r="H906" s="6"/>
      <c r="I906" s="6"/>
      <c r="J906" s="6"/>
      <c r="K906" s="6"/>
      <c r="L906" s="6"/>
      <c r="M906" s="6"/>
      <c r="N906" s="6"/>
      <c r="O906" s="6"/>
      <c r="P906" s="6"/>
      <c r="Q906" s="6"/>
      <c r="R906" s="6"/>
      <c r="S906" s="6"/>
      <c r="T906" s="6"/>
      <c r="U906" s="6"/>
      <c r="V906" s="6"/>
      <c r="W906" s="6"/>
      <c r="X906" s="6"/>
    </row>
    <row r="907" hidden="1">
      <c r="A907" s="6"/>
      <c r="B907" s="6"/>
      <c r="C907" s="6"/>
      <c r="D907" s="6"/>
      <c r="E907" s="6"/>
      <c r="F907" s="6"/>
      <c r="G907" s="6" t="str">
        <f>IFERROR(__xludf.DUMMYFUNCTION("""COMPUTED_VALUE"""),"")</f>
        <v/>
      </c>
      <c r="H907" s="6"/>
      <c r="I907" s="6"/>
      <c r="J907" s="6"/>
      <c r="K907" s="6"/>
      <c r="L907" s="6"/>
      <c r="M907" s="6"/>
      <c r="N907" s="6"/>
      <c r="O907" s="6"/>
      <c r="P907" s="6"/>
      <c r="Q907" s="6"/>
      <c r="R907" s="6"/>
      <c r="S907" s="6"/>
      <c r="T907" s="6"/>
      <c r="U907" s="6"/>
      <c r="V907" s="6"/>
      <c r="W907" s="6"/>
      <c r="X907" s="6"/>
    </row>
    <row r="908" hidden="1">
      <c r="A908" s="6"/>
      <c r="B908" s="6"/>
      <c r="C908" s="6"/>
      <c r="D908" s="6"/>
      <c r="E908" s="6"/>
      <c r="F908" s="6"/>
      <c r="G908" s="6" t="str">
        <f>IFERROR(__xludf.DUMMYFUNCTION("""COMPUTED_VALUE"""),"")</f>
        <v/>
      </c>
      <c r="H908" s="6"/>
      <c r="I908" s="6"/>
      <c r="J908" s="6"/>
      <c r="K908" s="6"/>
      <c r="L908" s="6"/>
      <c r="M908" s="6"/>
      <c r="N908" s="6"/>
      <c r="O908" s="6"/>
      <c r="P908" s="6"/>
      <c r="Q908" s="6"/>
      <c r="R908" s="6"/>
      <c r="S908" s="6"/>
      <c r="T908" s="6"/>
      <c r="U908" s="6"/>
      <c r="V908" s="6"/>
      <c r="W908" s="6"/>
      <c r="X908" s="6"/>
    </row>
    <row r="909" hidden="1">
      <c r="A909" s="6"/>
      <c r="B909" s="6"/>
      <c r="C909" s="6"/>
      <c r="D909" s="6"/>
      <c r="E909" s="6"/>
      <c r="F909" s="6"/>
      <c r="G909" s="6" t="str">
        <f>IFERROR(__xludf.DUMMYFUNCTION("""COMPUTED_VALUE"""),"")</f>
        <v/>
      </c>
      <c r="H909" s="6"/>
      <c r="I909" s="6"/>
      <c r="J909" s="6"/>
      <c r="K909" s="6"/>
      <c r="L909" s="6"/>
      <c r="M909" s="6"/>
      <c r="N909" s="6"/>
      <c r="O909" s="6"/>
      <c r="P909" s="6"/>
      <c r="Q909" s="6"/>
      <c r="R909" s="6"/>
      <c r="S909" s="6"/>
      <c r="T909" s="6"/>
      <c r="U909" s="6"/>
      <c r="V909" s="6"/>
      <c r="W909" s="6"/>
      <c r="X909" s="6"/>
    </row>
    <row r="910" hidden="1">
      <c r="A910" s="6"/>
      <c r="B910" s="6"/>
      <c r="C910" s="6"/>
      <c r="D910" s="6"/>
      <c r="E910" s="6"/>
      <c r="F910" s="6"/>
      <c r="G910" s="6" t="str">
        <f>IFERROR(__xludf.DUMMYFUNCTION("""COMPUTED_VALUE"""),"")</f>
        <v/>
      </c>
      <c r="H910" s="6"/>
      <c r="I910" s="6"/>
      <c r="J910" s="6"/>
      <c r="K910" s="6"/>
      <c r="L910" s="6"/>
      <c r="M910" s="6"/>
      <c r="N910" s="6"/>
      <c r="O910" s="6"/>
      <c r="P910" s="6"/>
      <c r="Q910" s="6"/>
      <c r="R910" s="6"/>
      <c r="S910" s="6"/>
      <c r="T910" s="6"/>
      <c r="U910" s="6"/>
      <c r="V910" s="6"/>
      <c r="W910" s="6"/>
      <c r="X910" s="6"/>
    </row>
    <row r="911" hidden="1">
      <c r="A911" s="6"/>
      <c r="B911" s="6"/>
      <c r="C911" s="6"/>
      <c r="D911" s="6"/>
      <c r="E911" s="6"/>
      <c r="F911" s="6"/>
      <c r="G911" s="6" t="str">
        <f>IFERROR(__xludf.DUMMYFUNCTION("""COMPUTED_VALUE"""),"")</f>
        <v/>
      </c>
      <c r="H911" s="6"/>
      <c r="I911" s="6"/>
      <c r="J911" s="6"/>
      <c r="K911" s="6"/>
      <c r="L911" s="6"/>
      <c r="M911" s="6"/>
      <c r="N911" s="6"/>
      <c r="O911" s="6"/>
      <c r="P911" s="6"/>
      <c r="Q911" s="6"/>
      <c r="R911" s="6"/>
      <c r="S911" s="6"/>
      <c r="T911" s="6"/>
      <c r="U911" s="6"/>
      <c r="V911" s="6"/>
      <c r="W911" s="6"/>
      <c r="X911" s="6"/>
    </row>
    <row r="912" hidden="1">
      <c r="A912" s="6"/>
      <c r="B912" s="6"/>
      <c r="C912" s="6"/>
      <c r="D912" s="6"/>
      <c r="E912" s="6"/>
      <c r="F912" s="6"/>
      <c r="G912" s="6" t="str">
        <f>IFERROR(__xludf.DUMMYFUNCTION("""COMPUTED_VALUE"""),"")</f>
        <v/>
      </c>
      <c r="H912" s="6"/>
      <c r="I912" s="6"/>
      <c r="J912" s="6"/>
      <c r="K912" s="6"/>
      <c r="L912" s="6"/>
      <c r="M912" s="6"/>
      <c r="N912" s="6"/>
      <c r="O912" s="6"/>
      <c r="P912" s="6"/>
      <c r="Q912" s="6"/>
      <c r="R912" s="6"/>
      <c r="S912" s="6"/>
      <c r="T912" s="6"/>
      <c r="U912" s="6"/>
      <c r="V912" s="6"/>
      <c r="W912" s="6"/>
      <c r="X912" s="6"/>
    </row>
    <row r="913" hidden="1">
      <c r="A913" s="6"/>
      <c r="B913" s="6"/>
      <c r="C913" s="6"/>
      <c r="D913" s="6"/>
      <c r="E913" s="6"/>
      <c r="F913" s="6"/>
      <c r="G913" s="6" t="str">
        <f>IFERROR(__xludf.DUMMYFUNCTION("""COMPUTED_VALUE"""),"")</f>
        <v/>
      </c>
      <c r="H913" s="6"/>
      <c r="I913" s="6"/>
      <c r="J913" s="6"/>
      <c r="K913" s="6"/>
      <c r="L913" s="6"/>
      <c r="M913" s="6"/>
      <c r="N913" s="6"/>
      <c r="O913" s="6"/>
      <c r="P913" s="6"/>
      <c r="Q913" s="6"/>
      <c r="R913" s="6"/>
      <c r="S913" s="6"/>
      <c r="T913" s="6"/>
      <c r="U913" s="6"/>
      <c r="V913" s="6"/>
      <c r="W913" s="6"/>
      <c r="X913" s="6"/>
    </row>
    <row r="914" hidden="1">
      <c r="A914" s="6"/>
      <c r="B914" s="6"/>
      <c r="C914" s="6"/>
      <c r="D914" s="6"/>
      <c r="E914" s="6"/>
      <c r="F914" s="6"/>
      <c r="G914" s="6" t="str">
        <f>IFERROR(__xludf.DUMMYFUNCTION("""COMPUTED_VALUE"""),"")</f>
        <v/>
      </c>
      <c r="H914" s="6"/>
      <c r="I914" s="6"/>
      <c r="J914" s="6"/>
      <c r="K914" s="6"/>
      <c r="L914" s="6"/>
      <c r="M914" s="6"/>
      <c r="N914" s="6"/>
      <c r="O914" s="6"/>
      <c r="P914" s="6"/>
      <c r="Q914" s="6"/>
      <c r="R914" s="6"/>
      <c r="S914" s="6"/>
      <c r="T914" s="6"/>
      <c r="U914" s="6"/>
      <c r="V914" s="6"/>
      <c r="W914" s="6"/>
      <c r="X914" s="6"/>
    </row>
    <row r="915" hidden="1">
      <c r="A915" s="6"/>
      <c r="B915" s="6"/>
      <c r="C915" s="6"/>
      <c r="D915" s="6"/>
      <c r="E915" s="6"/>
      <c r="F915" s="6"/>
      <c r="G915" s="6" t="str">
        <f>IFERROR(__xludf.DUMMYFUNCTION("""COMPUTED_VALUE"""),"")</f>
        <v/>
      </c>
      <c r="H915" s="6"/>
      <c r="I915" s="6"/>
      <c r="J915" s="6"/>
      <c r="K915" s="6"/>
      <c r="L915" s="6"/>
      <c r="M915" s="6"/>
      <c r="N915" s="6"/>
      <c r="O915" s="6"/>
      <c r="P915" s="6"/>
      <c r="Q915" s="6"/>
      <c r="R915" s="6"/>
      <c r="S915" s="6"/>
      <c r="T915" s="6"/>
      <c r="U915" s="6"/>
      <c r="V915" s="6"/>
      <c r="W915" s="6"/>
      <c r="X915" s="6"/>
    </row>
    <row r="916" hidden="1">
      <c r="A916" s="6"/>
      <c r="B916" s="6"/>
      <c r="C916" s="6"/>
      <c r="D916" s="6"/>
      <c r="E916" s="6"/>
      <c r="F916" s="6"/>
      <c r="G916" s="6" t="str">
        <f>IFERROR(__xludf.DUMMYFUNCTION("""COMPUTED_VALUE"""),"")</f>
        <v/>
      </c>
      <c r="H916" s="6"/>
      <c r="I916" s="6"/>
      <c r="J916" s="6"/>
      <c r="K916" s="6"/>
      <c r="L916" s="6"/>
      <c r="M916" s="6"/>
      <c r="N916" s="6"/>
      <c r="O916" s="6"/>
      <c r="P916" s="6"/>
      <c r="Q916" s="6"/>
      <c r="R916" s="6"/>
      <c r="S916" s="6"/>
      <c r="T916" s="6"/>
      <c r="U916" s="6"/>
      <c r="V916" s="6"/>
      <c r="W916" s="6"/>
      <c r="X916" s="6"/>
    </row>
    <row r="917" hidden="1">
      <c r="A917" s="6"/>
      <c r="B917" s="6"/>
      <c r="C917" s="6"/>
      <c r="D917" s="6"/>
      <c r="E917" s="6"/>
      <c r="F917" s="6"/>
      <c r="G917" s="6" t="str">
        <f>IFERROR(__xludf.DUMMYFUNCTION("""COMPUTED_VALUE"""),"")</f>
        <v/>
      </c>
      <c r="H917" s="6"/>
      <c r="I917" s="6"/>
      <c r="J917" s="6"/>
      <c r="K917" s="6"/>
      <c r="L917" s="6"/>
      <c r="M917" s="6"/>
      <c r="N917" s="6"/>
      <c r="O917" s="6"/>
      <c r="P917" s="6"/>
      <c r="Q917" s="6"/>
      <c r="R917" s="6"/>
      <c r="S917" s="6"/>
      <c r="T917" s="6"/>
      <c r="U917" s="6"/>
      <c r="V917" s="6"/>
      <c r="W917" s="6"/>
      <c r="X917" s="6"/>
    </row>
    <row r="918" hidden="1">
      <c r="A918" s="6"/>
      <c r="B918" s="6"/>
      <c r="C918" s="6"/>
      <c r="D918" s="6"/>
      <c r="E918" s="6"/>
      <c r="F918" s="6"/>
      <c r="G918" s="6" t="str">
        <f>IFERROR(__xludf.DUMMYFUNCTION("""COMPUTED_VALUE"""),"")</f>
        <v/>
      </c>
      <c r="H918" s="6"/>
      <c r="I918" s="6"/>
      <c r="J918" s="6"/>
      <c r="K918" s="6"/>
      <c r="L918" s="6"/>
      <c r="M918" s="6"/>
      <c r="N918" s="6"/>
      <c r="O918" s="6"/>
      <c r="P918" s="6"/>
      <c r="Q918" s="6"/>
      <c r="R918" s="6"/>
      <c r="S918" s="6"/>
      <c r="T918" s="6"/>
      <c r="U918" s="6"/>
      <c r="V918" s="6"/>
      <c r="W918" s="6"/>
      <c r="X918" s="6"/>
    </row>
    <row r="919" hidden="1">
      <c r="A919" s="6"/>
      <c r="B919" s="6"/>
      <c r="C919" s="6"/>
      <c r="D919" s="6"/>
      <c r="E919" s="6"/>
      <c r="F919" s="6"/>
      <c r="G919" s="6" t="str">
        <f>IFERROR(__xludf.DUMMYFUNCTION("""COMPUTED_VALUE"""),"")</f>
        <v/>
      </c>
      <c r="H919" s="6"/>
      <c r="I919" s="6"/>
      <c r="J919" s="6"/>
      <c r="K919" s="6"/>
      <c r="L919" s="6"/>
      <c r="M919" s="6"/>
      <c r="N919" s="6"/>
      <c r="O919" s="6"/>
      <c r="P919" s="6"/>
      <c r="Q919" s="6"/>
      <c r="R919" s="6"/>
      <c r="S919" s="6"/>
      <c r="T919" s="6"/>
      <c r="U919" s="6"/>
      <c r="V919" s="6"/>
      <c r="W919" s="6"/>
      <c r="X919" s="6"/>
    </row>
    <row r="920" hidden="1">
      <c r="A920" s="6"/>
      <c r="B920" s="6"/>
      <c r="C920" s="6"/>
      <c r="D920" s="6"/>
      <c r="E920" s="6"/>
      <c r="F920" s="6"/>
      <c r="G920" s="6" t="str">
        <f>IFERROR(__xludf.DUMMYFUNCTION("""COMPUTED_VALUE"""),"")</f>
        <v/>
      </c>
      <c r="H920" s="6"/>
      <c r="I920" s="6"/>
      <c r="J920" s="6"/>
      <c r="K920" s="6"/>
      <c r="L920" s="6"/>
      <c r="M920" s="6"/>
      <c r="N920" s="6"/>
      <c r="O920" s="6"/>
      <c r="P920" s="6"/>
      <c r="Q920" s="6"/>
      <c r="R920" s="6"/>
      <c r="S920" s="6"/>
      <c r="T920" s="6"/>
      <c r="U920" s="6"/>
      <c r="V920" s="6"/>
      <c r="W920" s="6"/>
      <c r="X920" s="6"/>
    </row>
    <row r="921" hidden="1">
      <c r="A921" s="6"/>
      <c r="B921" s="6"/>
      <c r="C921" s="6"/>
      <c r="D921" s="6"/>
      <c r="E921" s="6"/>
      <c r="F921" s="6"/>
      <c r="G921" s="6" t="str">
        <f>IFERROR(__xludf.DUMMYFUNCTION("""COMPUTED_VALUE"""),"")</f>
        <v/>
      </c>
      <c r="H921" s="6"/>
      <c r="I921" s="6"/>
      <c r="J921" s="6"/>
      <c r="K921" s="6"/>
      <c r="L921" s="6"/>
      <c r="M921" s="6"/>
      <c r="N921" s="6"/>
      <c r="O921" s="6"/>
      <c r="P921" s="6"/>
      <c r="Q921" s="6"/>
      <c r="R921" s="6"/>
      <c r="S921" s="6"/>
      <c r="T921" s="6"/>
      <c r="U921" s="6"/>
      <c r="V921" s="6"/>
      <c r="W921" s="6"/>
      <c r="X921" s="6"/>
    </row>
    <row r="922" hidden="1">
      <c r="A922" s="6"/>
      <c r="B922" s="6"/>
      <c r="C922" s="6"/>
      <c r="D922" s="6"/>
      <c r="E922" s="6"/>
      <c r="F922" s="6"/>
      <c r="G922" s="6" t="str">
        <f>IFERROR(__xludf.DUMMYFUNCTION("""COMPUTED_VALUE"""),"")</f>
        <v/>
      </c>
      <c r="H922" s="6"/>
      <c r="I922" s="6"/>
      <c r="J922" s="6"/>
      <c r="K922" s="6"/>
      <c r="L922" s="6"/>
      <c r="M922" s="6"/>
      <c r="N922" s="6"/>
      <c r="O922" s="6"/>
      <c r="P922" s="6"/>
      <c r="Q922" s="6"/>
      <c r="R922" s="6"/>
      <c r="S922" s="6"/>
      <c r="T922" s="6"/>
      <c r="U922" s="6"/>
      <c r="V922" s="6"/>
      <c r="W922" s="6"/>
      <c r="X922" s="6"/>
    </row>
    <row r="923" hidden="1">
      <c r="A923" s="6"/>
      <c r="B923" s="6"/>
      <c r="C923" s="6"/>
      <c r="D923" s="6"/>
      <c r="E923" s="6"/>
      <c r="F923" s="6"/>
      <c r="G923" s="6" t="str">
        <f>IFERROR(__xludf.DUMMYFUNCTION("""COMPUTED_VALUE"""),"")</f>
        <v/>
      </c>
      <c r="H923" s="6"/>
      <c r="I923" s="6"/>
      <c r="J923" s="6"/>
      <c r="K923" s="6"/>
      <c r="L923" s="6"/>
      <c r="M923" s="6"/>
      <c r="N923" s="6"/>
      <c r="O923" s="6"/>
      <c r="P923" s="6"/>
      <c r="Q923" s="6"/>
      <c r="R923" s="6"/>
      <c r="S923" s="6"/>
      <c r="T923" s="6"/>
      <c r="U923" s="6"/>
      <c r="V923" s="6"/>
      <c r="W923" s="6"/>
      <c r="X923" s="6"/>
    </row>
    <row r="924" hidden="1">
      <c r="A924" s="6"/>
      <c r="B924" s="6"/>
      <c r="C924" s="6"/>
      <c r="D924" s="6"/>
      <c r="E924" s="6"/>
      <c r="F924" s="6"/>
      <c r="G924" s="6" t="str">
        <f>IFERROR(__xludf.DUMMYFUNCTION("""COMPUTED_VALUE"""),"")</f>
        <v/>
      </c>
      <c r="H924" s="6"/>
      <c r="I924" s="6"/>
      <c r="J924" s="6"/>
      <c r="K924" s="6"/>
      <c r="L924" s="6"/>
      <c r="M924" s="6"/>
      <c r="N924" s="6"/>
      <c r="O924" s="6"/>
      <c r="P924" s="6"/>
      <c r="Q924" s="6"/>
      <c r="R924" s="6"/>
      <c r="S924" s="6"/>
      <c r="T924" s="6"/>
      <c r="U924" s="6"/>
      <c r="V924" s="6"/>
      <c r="W924" s="6"/>
      <c r="X924" s="6"/>
    </row>
    <row r="925" hidden="1">
      <c r="A925" s="6"/>
      <c r="B925" s="6"/>
      <c r="C925" s="6"/>
      <c r="D925" s="6"/>
      <c r="E925" s="6"/>
      <c r="F925" s="6"/>
      <c r="G925" s="6" t="str">
        <f>IFERROR(__xludf.DUMMYFUNCTION("""COMPUTED_VALUE"""),"")</f>
        <v/>
      </c>
      <c r="H925" s="6"/>
      <c r="I925" s="6"/>
      <c r="J925" s="6"/>
      <c r="K925" s="6"/>
      <c r="L925" s="6"/>
      <c r="M925" s="6"/>
      <c r="N925" s="6"/>
      <c r="O925" s="6"/>
      <c r="P925" s="6"/>
      <c r="Q925" s="6"/>
      <c r="R925" s="6"/>
      <c r="S925" s="6"/>
      <c r="T925" s="6"/>
      <c r="U925" s="6"/>
      <c r="V925" s="6"/>
      <c r="W925" s="6"/>
      <c r="X925" s="6"/>
    </row>
    <row r="926" hidden="1">
      <c r="A926" s="6"/>
      <c r="B926" s="6"/>
      <c r="C926" s="6"/>
      <c r="D926" s="6"/>
      <c r="E926" s="6"/>
      <c r="F926" s="6"/>
      <c r="G926" s="6" t="str">
        <f>IFERROR(__xludf.DUMMYFUNCTION("""COMPUTED_VALUE"""),"")</f>
        <v/>
      </c>
      <c r="H926" s="6"/>
      <c r="I926" s="6"/>
      <c r="J926" s="6"/>
      <c r="K926" s="6"/>
      <c r="L926" s="6"/>
      <c r="M926" s="6"/>
      <c r="N926" s="6"/>
      <c r="O926" s="6"/>
      <c r="P926" s="6"/>
      <c r="Q926" s="6"/>
      <c r="R926" s="6"/>
      <c r="S926" s="6"/>
      <c r="T926" s="6"/>
      <c r="U926" s="6"/>
      <c r="V926" s="6"/>
      <c r="W926" s="6"/>
      <c r="X926" s="6"/>
    </row>
    <row r="927" hidden="1">
      <c r="A927" s="6"/>
      <c r="B927" s="6"/>
      <c r="C927" s="6"/>
      <c r="D927" s="6"/>
      <c r="E927" s="6"/>
      <c r="F927" s="6"/>
      <c r="G927" s="6" t="str">
        <f>IFERROR(__xludf.DUMMYFUNCTION("""COMPUTED_VALUE"""),"")</f>
        <v/>
      </c>
      <c r="H927" s="6"/>
      <c r="I927" s="6"/>
      <c r="J927" s="6"/>
      <c r="K927" s="6"/>
      <c r="L927" s="6"/>
      <c r="M927" s="6"/>
      <c r="N927" s="6"/>
      <c r="O927" s="6"/>
      <c r="P927" s="6"/>
      <c r="Q927" s="6"/>
      <c r="R927" s="6"/>
      <c r="S927" s="6"/>
      <c r="T927" s="6"/>
      <c r="U927" s="6"/>
      <c r="V927" s="6"/>
      <c r="W927" s="6"/>
      <c r="X927" s="6"/>
    </row>
    <row r="928" hidden="1">
      <c r="A928" s="6"/>
      <c r="B928" s="6"/>
      <c r="C928" s="6"/>
      <c r="D928" s="6"/>
      <c r="E928" s="6"/>
      <c r="F928" s="6"/>
      <c r="G928" s="6" t="str">
        <f>IFERROR(__xludf.DUMMYFUNCTION("""COMPUTED_VALUE"""),"")</f>
        <v/>
      </c>
      <c r="H928" s="6"/>
      <c r="I928" s="6"/>
      <c r="J928" s="6"/>
      <c r="K928" s="6"/>
      <c r="L928" s="6"/>
      <c r="M928" s="6"/>
      <c r="N928" s="6"/>
      <c r="O928" s="6"/>
      <c r="P928" s="6"/>
      <c r="Q928" s="6"/>
      <c r="R928" s="6"/>
      <c r="S928" s="6"/>
      <c r="T928" s="6"/>
      <c r="U928" s="6"/>
      <c r="V928" s="6"/>
      <c r="W928" s="6"/>
      <c r="X928" s="6"/>
    </row>
    <row r="929" hidden="1">
      <c r="A929" s="6"/>
      <c r="B929" s="6"/>
      <c r="C929" s="6"/>
      <c r="D929" s="6"/>
      <c r="E929" s="6"/>
      <c r="F929" s="6"/>
      <c r="G929" s="6" t="str">
        <f>IFERROR(__xludf.DUMMYFUNCTION("""COMPUTED_VALUE"""),"")</f>
        <v/>
      </c>
      <c r="H929" s="6"/>
      <c r="I929" s="6"/>
      <c r="J929" s="6"/>
      <c r="K929" s="6"/>
      <c r="L929" s="6"/>
      <c r="M929" s="6"/>
      <c r="N929" s="6"/>
      <c r="O929" s="6"/>
      <c r="P929" s="6"/>
      <c r="Q929" s="6"/>
      <c r="R929" s="6"/>
      <c r="S929" s="6"/>
      <c r="T929" s="6"/>
      <c r="U929" s="6"/>
      <c r="V929" s="6"/>
      <c r="W929" s="6"/>
      <c r="X929" s="6"/>
    </row>
    <row r="930" hidden="1">
      <c r="A930" s="6"/>
      <c r="B930" s="6"/>
      <c r="C930" s="6"/>
      <c r="D930" s="6"/>
      <c r="E930" s="6"/>
      <c r="F930" s="6"/>
      <c r="G930" s="6" t="str">
        <f>IFERROR(__xludf.DUMMYFUNCTION("""COMPUTED_VALUE"""),"")</f>
        <v/>
      </c>
      <c r="H930" s="6"/>
      <c r="I930" s="6"/>
      <c r="J930" s="6"/>
      <c r="K930" s="6"/>
      <c r="L930" s="6"/>
      <c r="M930" s="6"/>
      <c r="N930" s="6"/>
      <c r="O930" s="6"/>
      <c r="P930" s="6"/>
      <c r="Q930" s="6"/>
      <c r="R930" s="6"/>
      <c r="S930" s="6"/>
      <c r="T930" s="6"/>
      <c r="U930" s="6"/>
      <c r="V930" s="6"/>
      <c r="W930" s="6"/>
      <c r="X930" s="6"/>
    </row>
    <row r="931" hidden="1">
      <c r="A931" s="6"/>
      <c r="B931" s="6"/>
      <c r="C931" s="6"/>
      <c r="D931" s="6"/>
      <c r="E931" s="6"/>
      <c r="F931" s="6"/>
      <c r="G931" s="6" t="str">
        <f>IFERROR(__xludf.DUMMYFUNCTION("""COMPUTED_VALUE"""),"")</f>
        <v/>
      </c>
      <c r="H931" s="6"/>
      <c r="I931" s="6"/>
      <c r="J931" s="6"/>
      <c r="K931" s="6"/>
      <c r="L931" s="6"/>
      <c r="M931" s="6"/>
      <c r="N931" s="6"/>
      <c r="O931" s="6"/>
      <c r="P931" s="6"/>
      <c r="Q931" s="6"/>
      <c r="R931" s="6"/>
      <c r="S931" s="6"/>
      <c r="T931" s="6"/>
      <c r="U931" s="6"/>
      <c r="V931" s="6"/>
      <c r="W931" s="6"/>
      <c r="X931" s="6"/>
    </row>
    <row r="932" hidden="1">
      <c r="A932" s="6"/>
      <c r="B932" s="6"/>
      <c r="C932" s="6"/>
      <c r="D932" s="6"/>
      <c r="E932" s="6"/>
      <c r="F932" s="6"/>
      <c r="G932" s="6" t="str">
        <f>IFERROR(__xludf.DUMMYFUNCTION("""COMPUTED_VALUE"""),"")</f>
        <v/>
      </c>
      <c r="H932" s="6"/>
      <c r="I932" s="6"/>
      <c r="J932" s="6"/>
      <c r="K932" s="6"/>
      <c r="L932" s="6"/>
      <c r="M932" s="6"/>
      <c r="N932" s="6"/>
      <c r="O932" s="6"/>
      <c r="P932" s="6"/>
      <c r="Q932" s="6"/>
      <c r="R932" s="6"/>
      <c r="S932" s="6"/>
      <c r="T932" s="6"/>
      <c r="U932" s="6"/>
      <c r="V932" s="6"/>
      <c r="W932" s="6"/>
      <c r="X932" s="6"/>
    </row>
    <row r="933" hidden="1">
      <c r="A933" s="6"/>
      <c r="B933" s="6"/>
      <c r="C933" s="6"/>
      <c r="D933" s="6"/>
      <c r="E933" s="6"/>
      <c r="F933" s="6"/>
      <c r="G933" s="6" t="str">
        <f>IFERROR(__xludf.DUMMYFUNCTION("""COMPUTED_VALUE"""),"")</f>
        <v/>
      </c>
      <c r="H933" s="6"/>
      <c r="I933" s="6"/>
      <c r="J933" s="6"/>
      <c r="K933" s="6"/>
      <c r="L933" s="6"/>
      <c r="M933" s="6"/>
      <c r="N933" s="6"/>
      <c r="O933" s="6"/>
      <c r="P933" s="6"/>
      <c r="Q933" s="6"/>
      <c r="R933" s="6"/>
      <c r="S933" s="6"/>
      <c r="T933" s="6"/>
      <c r="U933" s="6"/>
      <c r="V933" s="6"/>
      <c r="W933" s="6"/>
      <c r="X933" s="6"/>
    </row>
    <row r="934" hidden="1">
      <c r="A934" s="6"/>
      <c r="B934" s="6"/>
      <c r="C934" s="6"/>
      <c r="D934" s="6"/>
      <c r="E934" s="6"/>
      <c r="F934" s="6"/>
      <c r="G934" s="6" t="str">
        <f>IFERROR(__xludf.DUMMYFUNCTION("""COMPUTED_VALUE"""),"")</f>
        <v/>
      </c>
      <c r="H934" s="6"/>
      <c r="I934" s="6"/>
      <c r="J934" s="6"/>
      <c r="K934" s="6"/>
      <c r="L934" s="6"/>
      <c r="M934" s="6"/>
      <c r="N934" s="6"/>
      <c r="O934" s="6"/>
      <c r="P934" s="6"/>
      <c r="Q934" s="6"/>
      <c r="R934" s="6"/>
      <c r="S934" s="6"/>
      <c r="T934" s="6"/>
      <c r="U934" s="6"/>
      <c r="V934" s="6"/>
      <c r="W934" s="6"/>
      <c r="X934" s="6"/>
    </row>
    <row r="935" hidden="1">
      <c r="A935" s="6"/>
      <c r="B935" s="6"/>
      <c r="C935" s="6"/>
      <c r="D935" s="6"/>
      <c r="E935" s="6"/>
      <c r="F935" s="6"/>
      <c r="G935" s="6" t="str">
        <f>IFERROR(__xludf.DUMMYFUNCTION("""COMPUTED_VALUE"""),"")</f>
        <v/>
      </c>
      <c r="H935" s="6"/>
      <c r="I935" s="6"/>
      <c r="J935" s="6"/>
      <c r="K935" s="6"/>
      <c r="L935" s="6"/>
      <c r="M935" s="6"/>
      <c r="N935" s="6"/>
      <c r="O935" s="6"/>
      <c r="P935" s="6"/>
      <c r="Q935" s="6"/>
      <c r="R935" s="6"/>
      <c r="S935" s="6"/>
      <c r="T935" s="6"/>
      <c r="U935" s="6"/>
      <c r="V935" s="6"/>
      <c r="W935" s="6"/>
      <c r="X935" s="6"/>
    </row>
    <row r="936" hidden="1">
      <c r="A936" s="6"/>
      <c r="B936" s="6"/>
      <c r="C936" s="6"/>
      <c r="D936" s="6"/>
      <c r="E936" s="6"/>
      <c r="F936" s="6"/>
      <c r="G936" s="6" t="str">
        <f>IFERROR(__xludf.DUMMYFUNCTION("""COMPUTED_VALUE"""),"")</f>
        <v/>
      </c>
      <c r="H936" s="6"/>
      <c r="I936" s="6"/>
      <c r="J936" s="6"/>
      <c r="K936" s="6"/>
      <c r="L936" s="6"/>
      <c r="M936" s="6"/>
      <c r="N936" s="6"/>
      <c r="O936" s="6"/>
      <c r="P936" s="6"/>
      <c r="Q936" s="6"/>
      <c r="R936" s="6"/>
      <c r="S936" s="6"/>
      <c r="T936" s="6"/>
      <c r="U936" s="6"/>
      <c r="V936" s="6"/>
      <c r="W936" s="6"/>
      <c r="X936" s="6"/>
    </row>
    <row r="937" hidden="1">
      <c r="A937" s="6"/>
      <c r="B937" s="6"/>
      <c r="C937" s="6"/>
      <c r="D937" s="6"/>
      <c r="E937" s="6"/>
      <c r="F937" s="6"/>
      <c r="G937" s="6" t="str">
        <f>IFERROR(__xludf.DUMMYFUNCTION("""COMPUTED_VALUE"""),"")</f>
        <v/>
      </c>
      <c r="H937" s="6"/>
      <c r="I937" s="6"/>
      <c r="J937" s="6"/>
      <c r="K937" s="6"/>
      <c r="L937" s="6"/>
      <c r="M937" s="6"/>
      <c r="N937" s="6"/>
      <c r="O937" s="6"/>
      <c r="P937" s="6"/>
      <c r="Q937" s="6"/>
      <c r="R937" s="6"/>
      <c r="S937" s="6"/>
      <c r="T937" s="6"/>
      <c r="U937" s="6"/>
      <c r="V937" s="6"/>
      <c r="W937" s="6"/>
      <c r="X937" s="6"/>
    </row>
    <row r="938" hidden="1">
      <c r="A938" s="6"/>
      <c r="B938" s="6"/>
      <c r="C938" s="6"/>
      <c r="D938" s="6"/>
      <c r="E938" s="6"/>
      <c r="F938" s="6"/>
      <c r="G938" s="6" t="str">
        <f>IFERROR(__xludf.DUMMYFUNCTION("""COMPUTED_VALUE"""),"")</f>
        <v/>
      </c>
      <c r="H938" s="6"/>
      <c r="I938" s="6"/>
      <c r="J938" s="6"/>
      <c r="K938" s="6"/>
      <c r="L938" s="6"/>
      <c r="M938" s="6"/>
      <c r="N938" s="6"/>
      <c r="O938" s="6"/>
      <c r="P938" s="6"/>
      <c r="Q938" s="6"/>
      <c r="R938" s="6"/>
      <c r="S938" s="6"/>
      <c r="T938" s="6"/>
      <c r="U938" s="6"/>
      <c r="V938" s="6"/>
      <c r="W938" s="6"/>
      <c r="X938" s="6"/>
    </row>
    <row r="939" hidden="1">
      <c r="A939" s="6"/>
      <c r="B939" s="6"/>
      <c r="C939" s="6"/>
      <c r="D939" s="6"/>
      <c r="E939" s="6"/>
      <c r="F939" s="6"/>
      <c r="G939" s="6" t="str">
        <f>IFERROR(__xludf.DUMMYFUNCTION("""COMPUTED_VALUE"""),"")</f>
        <v/>
      </c>
      <c r="H939" s="6"/>
      <c r="I939" s="6"/>
      <c r="J939" s="6"/>
      <c r="K939" s="6"/>
      <c r="L939" s="6"/>
      <c r="M939" s="6"/>
      <c r="N939" s="6"/>
      <c r="O939" s="6"/>
      <c r="P939" s="6"/>
      <c r="Q939" s="6"/>
      <c r="R939" s="6"/>
      <c r="S939" s="6"/>
      <c r="T939" s="6"/>
      <c r="U939" s="6"/>
      <c r="V939" s="6"/>
      <c r="W939" s="6"/>
      <c r="X939" s="6"/>
    </row>
    <row r="940" hidden="1">
      <c r="A940" s="6"/>
      <c r="B940" s="6"/>
      <c r="C940" s="6"/>
      <c r="D940" s="6"/>
      <c r="E940" s="6"/>
      <c r="F940" s="6"/>
      <c r="G940" s="6" t="str">
        <f>IFERROR(__xludf.DUMMYFUNCTION("""COMPUTED_VALUE"""),"")</f>
        <v/>
      </c>
      <c r="H940" s="6"/>
      <c r="I940" s="6"/>
      <c r="J940" s="6"/>
      <c r="K940" s="6"/>
      <c r="L940" s="6"/>
      <c r="M940" s="6"/>
      <c r="N940" s="6"/>
      <c r="O940" s="6"/>
      <c r="P940" s="6"/>
      <c r="Q940" s="6"/>
      <c r="R940" s="6"/>
      <c r="S940" s="6"/>
      <c r="T940" s="6"/>
      <c r="U940" s="6"/>
      <c r="V940" s="6"/>
      <c r="W940" s="6"/>
      <c r="X940" s="6"/>
    </row>
    <row r="941" hidden="1">
      <c r="A941" s="6"/>
      <c r="B941" s="6"/>
      <c r="C941" s="6"/>
      <c r="D941" s="6"/>
      <c r="E941" s="6"/>
      <c r="F941" s="6"/>
      <c r="G941" s="6" t="str">
        <f>IFERROR(__xludf.DUMMYFUNCTION("""COMPUTED_VALUE"""),"")</f>
        <v/>
      </c>
      <c r="H941" s="6"/>
      <c r="I941" s="6"/>
      <c r="J941" s="6"/>
      <c r="K941" s="6"/>
      <c r="L941" s="6"/>
      <c r="M941" s="6"/>
      <c r="N941" s="6"/>
      <c r="O941" s="6"/>
      <c r="P941" s="6"/>
      <c r="Q941" s="6"/>
      <c r="R941" s="6"/>
      <c r="S941" s="6"/>
      <c r="T941" s="6"/>
      <c r="U941" s="6"/>
      <c r="V941" s="6"/>
      <c r="W941" s="6"/>
      <c r="X941" s="6"/>
    </row>
    <row r="942" hidden="1">
      <c r="A942" s="6"/>
      <c r="B942" s="6"/>
      <c r="C942" s="6"/>
      <c r="D942" s="6"/>
      <c r="E942" s="6"/>
      <c r="F942" s="6"/>
      <c r="G942" s="6" t="str">
        <f>IFERROR(__xludf.DUMMYFUNCTION("""COMPUTED_VALUE"""),"")</f>
        <v/>
      </c>
      <c r="H942" s="6"/>
      <c r="I942" s="6"/>
      <c r="J942" s="6"/>
      <c r="K942" s="6"/>
      <c r="L942" s="6"/>
      <c r="M942" s="6"/>
      <c r="N942" s="6"/>
      <c r="O942" s="6"/>
      <c r="P942" s="6"/>
      <c r="Q942" s="6"/>
      <c r="R942" s="6"/>
      <c r="S942" s="6"/>
      <c r="T942" s="6"/>
      <c r="U942" s="6"/>
      <c r="V942" s="6"/>
      <c r="W942" s="6"/>
      <c r="X942" s="6"/>
    </row>
    <row r="943" hidden="1">
      <c r="A943" s="6"/>
      <c r="B943" s="6"/>
      <c r="C943" s="6"/>
      <c r="D943" s="6"/>
      <c r="E943" s="6"/>
      <c r="F943" s="6"/>
      <c r="G943" s="6" t="str">
        <f>IFERROR(__xludf.DUMMYFUNCTION("""COMPUTED_VALUE"""),"")</f>
        <v/>
      </c>
      <c r="H943" s="6"/>
      <c r="I943" s="6"/>
      <c r="J943" s="6"/>
      <c r="K943" s="6"/>
      <c r="L943" s="6"/>
      <c r="M943" s="6"/>
      <c r="N943" s="6"/>
      <c r="O943" s="6"/>
      <c r="P943" s="6"/>
      <c r="Q943" s="6"/>
      <c r="R943" s="6"/>
      <c r="S943" s="6"/>
      <c r="T943" s="6"/>
      <c r="U943" s="6"/>
      <c r="V943" s="6"/>
      <c r="W943" s="6"/>
      <c r="X943" s="6"/>
    </row>
    <row r="944" hidden="1">
      <c r="A944" s="6"/>
      <c r="B944" s="6"/>
      <c r="C944" s="6"/>
      <c r="D944" s="6"/>
      <c r="E944" s="6"/>
      <c r="F944" s="6"/>
      <c r="G944" s="6" t="str">
        <f>IFERROR(__xludf.DUMMYFUNCTION("""COMPUTED_VALUE"""),"")</f>
        <v/>
      </c>
      <c r="H944" s="6"/>
      <c r="I944" s="6"/>
      <c r="J944" s="6"/>
      <c r="K944" s="6"/>
      <c r="L944" s="6"/>
      <c r="M944" s="6"/>
      <c r="N944" s="6"/>
      <c r="O944" s="6"/>
      <c r="P944" s="6"/>
      <c r="Q944" s="6"/>
      <c r="R944" s="6"/>
      <c r="S944" s="6"/>
      <c r="T944" s="6"/>
      <c r="U944" s="6"/>
      <c r="V944" s="6"/>
      <c r="W944" s="6"/>
      <c r="X944" s="6"/>
    </row>
    <row r="945" hidden="1">
      <c r="A945" s="6"/>
      <c r="B945" s="6"/>
      <c r="C945" s="6"/>
      <c r="D945" s="6"/>
      <c r="E945" s="6"/>
      <c r="F945" s="6"/>
      <c r="G945" s="6" t="str">
        <f>IFERROR(__xludf.DUMMYFUNCTION("""COMPUTED_VALUE"""),"")</f>
        <v/>
      </c>
      <c r="H945" s="6"/>
      <c r="I945" s="6"/>
      <c r="J945" s="6"/>
      <c r="K945" s="6"/>
      <c r="L945" s="6"/>
      <c r="M945" s="6"/>
      <c r="N945" s="6"/>
      <c r="O945" s="6"/>
      <c r="P945" s="6"/>
      <c r="Q945" s="6"/>
      <c r="R945" s="6"/>
      <c r="S945" s="6"/>
      <c r="T945" s="6"/>
      <c r="U945" s="6"/>
      <c r="V945" s="6"/>
      <c r="W945" s="6"/>
      <c r="X945" s="6"/>
    </row>
    <row r="946" hidden="1">
      <c r="A946" s="6"/>
      <c r="B946" s="6"/>
      <c r="C946" s="6"/>
      <c r="D946" s="6"/>
      <c r="E946" s="6"/>
      <c r="F946" s="6"/>
      <c r="G946" s="6" t="str">
        <f>IFERROR(__xludf.DUMMYFUNCTION("""COMPUTED_VALUE"""),"")</f>
        <v/>
      </c>
      <c r="H946" s="6"/>
      <c r="I946" s="6"/>
      <c r="J946" s="6"/>
      <c r="K946" s="6"/>
      <c r="L946" s="6"/>
      <c r="M946" s="6"/>
      <c r="N946" s="6"/>
      <c r="O946" s="6"/>
      <c r="P946" s="6"/>
      <c r="Q946" s="6"/>
      <c r="R946" s="6"/>
      <c r="S946" s="6"/>
      <c r="T946" s="6"/>
      <c r="U946" s="6"/>
      <c r="V946" s="6"/>
      <c r="W946" s="6"/>
      <c r="X946" s="6"/>
    </row>
    <row r="947" hidden="1">
      <c r="A947" s="6"/>
      <c r="B947" s="6"/>
      <c r="C947" s="6"/>
      <c r="D947" s="6"/>
      <c r="E947" s="6"/>
      <c r="F947" s="6"/>
      <c r="G947" s="6" t="str">
        <f>IFERROR(__xludf.DUMMYFUNCTION("""COMPUTED_VALUE"""),"")</f>
        <v/>
      </c>
      <c r="H947" s="6"/>
      <c r="I947" s="6"/>
      <c r="J947" s="6"/>
      <c r="K947" s="6"/>
      <c r="L947" s="6"/>
      <c r="M947" s="6"/>
      <c r="N947" s="6"/>
      <c r="O947" s="6"/>
      <c r="P947" s="6"/>
      <c r="Q947" s="6"/>
      <c r="R947" s="6"/>
      <c r="S947" s="6"/>
      <c r="T947" s="6"/>
      <c r="U947" s="6"/>
      <c r="V947" s="6"/>
      <c r="W947" s="6"/>
      <c r="X947" s="6"/>
    </row>
    <row r="948" hidden="1">
      <c r="A948" s="6"/>
      <c r="B948" s="6"/>
      <c r="C948" s="6"/>
      <c r="D948" s="6"/>
      <c r="E948" s="6"/>
      <c r="F948" s="6"/>
      <c r="G948" s="6" t="str">
        <f>IFERROR(__xludf.DUMMYFUNCTION("""COMPUTED_VALUE"""),"")</f>
        <v/>
      </c>
      <c r="H948" s="6"/>
      <c r="I948" s="6"/>
      <c r="J948" s="6"/>
      <c r="K948" s="6"/>
      <c r="L948" s="6"/>
      <c r="M948" s="6"/>
      <c r="N948" s="6"/>
      <c r="O948" s="6"/>
      <c r="P948" s="6"/>
      <c r="Q948" s="6"/>
      <c r="R948" s="6"/>
      <c r="S948" s="6"/>
      <c r="T948" s="6"/>
      <c r="U948" s="6"/>
      <c r="V948" s="6"/>
      <c r="W948" s="6"/>
      <c r="X948" s="6"/>
    </row>
    <row r="949" hidden="1">
      <c r="A949" s="6"/>
      <c r="B949" s="6"/>
      <c r="C949" s="6"/>
      <c r="D949" s="6"/>
      <c r="E949" s="6"/>
      <c r="F949" s="6"/>
      <c r="G949" s="6" t="str">
        <f>IFERROR(__xludf.DUMMYFUNCTION("""COMPUTED_VALUE"""),"")</f>
        <v/>
      </c>
      <c r="H949" s="6"/>
      <c r="I949" s="6"/>
      <c r="J949" s="6"/>
      <c r="K949" s="6"/>
      <c r="L949" s="6"/>
      <c r="M949" s="6"/>
      <c r="N949" s="6"/>
      <c r="O949" s="6"/>
      <c r="P949" s="6"/>
      <c r="Q949" s="6"/>
      <c r="R949" s="6"/>
      <c r="S949" s="6"/>
      <c r="T949" s="6"/>
      <c r="U949" s="6"/>
      <c r="V949" s="6"/>
      <c r="W949" s="6"/>
      <c r="X949" s="6"/>
    </row>
    <row r="950" hidden="1">
      <c r="A950" s="6"/>
      <c r="B950" s="6"/>
      <c r="C950" s="6"/>
      <c r="D950" s="6"/>
      <c r="E950" s="6"/>
      <c r="F950" s="6"/>
      <c r="G950" s="6" t="str">
        <f>IFERROR(__xludf.DUMMYFUNCTION("""COMPUTED_VALUE"""),"")</f>
        <v/>
      </c>
      <c r="H950" s="6"/>
      <c r="I950" s="6"/>
      <c r="J950" s="6"/>
      <c r="K950" s="6"/>
      <c r="L950" s="6"/>
      <c r="M950" s="6"/>
      <c r="N950" s="6"/>
      <c r="O950" s="6"/>
      <c r="P950" s="6"/>
      <c r="Q950" s="6"/>
      <c r="R950" s="6"/>
      <c r="S950" s="6"/>
      <c r="T950" s="6"/>
      <c r="U950" s="6"/>
      <c r="V950" s="6"/>
      <c r="W950" s="6"/>
      <c r="X950" s="6"/>
    </row>
    <row r="951" hidden="1">
      <c r="A951" s="6"/>
      <c r="B951" s="6"/>
      <c r="C951" s="6"/>
      <c r="D951" s="6"/>
      <c r="E951" s="6"/>
      <c r="F951" s="6"/>
      <c r="G951" s="6" t="str">
        <f>IFERROR(__xludf.DUMMYFUNCTION("""COMPUTED_VALUE"""),"")</f>
        <v/>
      </c>
      <c r="H951" s="6"/>
      <c r="I951" s="6"/>
      <c r="J951" s="6"/>
      <c r="K951" s="6"/>
      <c r="L951" s="6"/>
      <c r="M951" s="6"/>
      <c r="N951" s="6"/>
      <c r="O951" s="6"/>
      <c r="P951" s="6"/>
      <c r="Q951" s="6"/>
      <c r="R951" s="6"/>
      <c r="S951" s="6"/>
      <c r="T951" s="6"/>
      <c r="U951" s="6"/>
      <c r="V951" s="6"/>
      <c r="W951" s="6"/>
      <c r="X951" s="6"/>
    </row>
    <row r="952" hidden="1">
      <c r="A952" s="6"/>
      <c r="B952" s="6"/>
      <c r="C952" s="6"/>
      <c r="D952" s="6"/>
      <c r="E952" s="6"/>
      <c r="F952" s="6"/>
      <c r="G952" s="6" t="str">
        <f>IFERROR(__xludf.DUMMYFUNCTION("""COMPUTED_VALUE"""),"")</f>
        <v/>
      </c>
      <c r="H952" s="6"/>
      <c r="I952" s="6"/>
      <c r="J952" s="6"/>
      <c r="K952" s="6"/>
      <c r="L952" s="6"/>
      <c r="M952" s="6"/>
      <c r="N952" s="6"/>
      <c r="O952" s="6"/>
      <c r="P952" s="6"/>
      <c r="Q952" s="6"/>
      <c r="R952" s="6"/>
      <c r="S952" s="6"/>
      <c r="T952" s="6"/>
      <c r="U952" s="6"/>
      <c r="V952" s="6"/>
      <c r="W952" s="6"/>
      <c r="X952" s="6"/>
    </row>
    <row r="953" hidden="1">
      <c r="A953" s="6"/>
      <c r="B953" s="6"/>
      <c r="C953" s="6"/>
      <c r="D953" s="6"/>
      <c r="E953" s="6"/>
      <c r="F953" s="6"/>
      <c r="G953" s="6" t="str">
        <f>IFERROR(__xludf.DUMMYFUNCTION("""COMPUTED_VALUE"""),"")</f>
        <v/>
      </c>
      <c r="H953" s="6"/>
      <c r="I953" s="6"/>
      <c r="J953" s="6"/>
      <c r="K953" s="6"/>
      <c r="L953" s="6"/>
      <c r="M953" s="6"/>
      <c r="N953" s="6"/>
      <c r="O953" s="6"/>
      <c r="P953" s="6"/>
      <c r="Q953" s="6"/>
      <c r="R953" s="6"/>
      <c r="S953" s="6"/>
      <c r="T953" s="6"/>
      <c r="U953" s="6"/>
      <c r="V953" s="6"/>
      <c r="W953" s="6"/>
      <c r="X953" s="6"/>
    </row>
    <row r="954" hidden="1">
      <c r="A954" s="6"/>
      <c r="B954" s="6"/>
      <c r="C954" s="6"/>
      <c r="D954" s="6"/>
      <c r="E954" s="6"/>
      <c r="F954" s="6"/>
      <c r="G954" s="6" t="str">
        <f>IFERROR(__xludf.DUMMYFUNCTION("""COMPUTED_VALUE"""),"")</f>
        <v/>
      </c>
      <c r="H954" s="6"/>
      <c r="I954" s="6"/>
      <c r="J954" s="6"/>
      <c r="K954" s="6"/>
      <c r="L954" s="6"/>
      <c r="M954" s="6"/>
      <c r="N954" s="6"/>
      <c r="O954" s="6"/>
      <c r="P954" s="6"/>
      <c r="Q954" s="6"/>
      <c r="R954" s="6"/>
      <c r="S954" s="6"/>
      <c r="T954" s="6"/>
      <c r="U954" s="6"/>
      <c r="V954" s="6"/>
      <c r="W954" s="6"/>
      <c r="X954" s="6"/>
    </row>
    <row r="955" hidden="1">
      <c r="A955" s="6"/>
      <c r="B955" s="6"/>
      <c r="C955" s="6"/>
      <c r="D955" s="6"/>
      <c r="E955" s="6"/>
      <c r="F955" s="6"/>
      <c r="G955" s="6" t="str">
        <f>IFERROR(__xludf.DUMMYFUNCTION("""COMPUTED_VALUE"""),"")</f>
        <v/>
      </c>
      <c r="H955" s="6"/>
      <c r="I955" s="6"/>
      <c r="J955" s="6"/>
      <c r="K955" s="6"/>
      <c r="L955" s="6"/>
      <c r="M955" s="6"/>
      <c r="N955" s="6"/>
      <c r="O955" s="6"/>
      <c r="P955" s="6"/>
      <c r="Q955" s="6"/>
      <c r="R955" s="6"/>
      <c r="S955" s="6"/>
      <c r="T955" s="6"/>
      <c r="U955" s="6"/>
      <c r="V955" s="6"/>
      <c r="W955" s="6"/>
      <c r="X955" s="6"/>
    </row>
    <row r="956" hidden="1">
      <c r="A956" s="6"/>
      <c r="B956" s="6"/>
      <c r="C956" s="6"/>
      <c r="D956" s="6"/>
      <c r="E956" s="6"/>
      <c r="F956" s="6"/>
      <c r="G956" s="6" t="str">
        <f>IFERROR(__xludf.DUMMYFUNCTION("""COMPUTED_VALUE"""),"")</f>
        <v/>
      </c>
      <c r="H956" s="6"/>
      <c r="I956" s="6"/>
      <c r="J956" s="6"/>
      <c r="K956" s="6"/>
      <c r="L956" s="6"/>
      <c r="M956" s="6"/>
      <c r="N956" s="6"/>
      <c r="O956" s="6"/>
      <c r="P956" s="6"/>
      <c r="Q956" s="6"/>
      <c r="R956" s="6"/>
      <c r="S956" s="6"/>
      <c r="T956" s="6"/>
      <c r="U956" s="6"/>
      <c r="V956" s="6"/>
      <c r="W956" s="6"/>
      <c r="X956" s="6"/>
    </row>
    <row r="957" hidden="1">
      <c r="A957" s="6"/>
      <c r="B957" s="6"/>
      <c r="C957" s="6"/>
      <c r="D957" s="6"/>
      <c r="E957" s="6"/>
      <c r="F957" s="6"/>
      <c r="G957" s="6" t="str">
        <f>IFERROR(__xludf.DUMMYFUNCTION("""COMPUTED_VALUE"""),"")</f>
        <v/>
      </c>
      <c r="H957" s="6"/>
      <c r="I957" s="6"/>
      <c r="J957" s="6"/>
      <c r="K957" s="6"/>
      <c r="L957" s="6"/>
      <c r="M957" s="6"/>
      <c r="N957" s="6"/>
      <c r="O957" s="6"/>
      <c r="P957" s="6"/>
      <c r="Q957" s="6"/>
      <c r="R957" s="6"/>
      <c r="S957" s="6"/>
      <c r="T957" s="6"/>
      <c r="U957" s="6"/>
      <c r="V957" s="6"/>
      <c r="W957" s="6"/>
      <c r="X957" s="6"/>
    </row>
    <row r="958" hidden="1">
      <c r="A958" s="6"/>
      <c r="B958" s="6"/>
      <c r="C958" s="6"/>
      <c r="D958" s="6"/>
      <c r="E958" s="6"/>
      <c r="F958" s="6"/>
      <c r="G958" s="6" t="str">
        <f>IFERROR(__xludf.DUMMYFUNCTION("""COMPUTED_VALUE"""),"")</f>
        <v/>
      </c>
      <c r="H958" s="6"/>
      <c r="I958" s="6"/>
      <c r="J958" s="6"/>
      <c r="K958" s="6"/>
      <c r="L958" s="6"/>
      <c r="M958" s="6"/>
      <c r="N958" s="6"/>
      <c r="O958" s="6"/>
      <c r="P958" s="6"/>
      <c r="Q958" s="6"/>
      <c r="R958" s="6"/>
      <c r="S958" s="6"/>
      <c r="T958" s="6"/>
      <c r="U958" s="6"/>
      <c r="V958" s="6"/>
      <c r="W958" s="6"/>
      <c r="X958" s="6"/>
    </row>
    <row r="959" hidden="1">
      <c r="A959" s="6"/>
      <c r="B959" s="6"/>
      <c r="C959" s="6"/>
      <c r="D959" s="6"/>
      <c r="E959" s="6"/>
      <c r="F959" s="6"/>
      <c r="G959" s="6" t="str">
        <f>IFERROR(__xludf.DUMMYFUNCTION("""COMPUTED_VALUE"""),"")</f>
        <v/>
      </c>
      <c r="H959" s="6"/>
      <c r="I959" s="6"/>
      <c r="J959" s="6"/>
      <c r="K959" s="6"/>
      <c r="L959" s="6"/>
      <c r="M959" s="6"/>
      <c r="N959" s="6"/>
      <c r="O959" s="6"/>
      <c r="P959" s="6"/>
      <c r="Q959" s="6"/>
      <c r="R959" s="6"/>
      <c r="S959" s="6"/>
      <c r="T959" s="6"/>
      <c r="U959" s="6"/>
      <c r="V959" s="6"/>
      <c r="W959" s="6"/>
      <c r="X959" s="6"/>
    </row>
    <row r="960" hidden="1">
      <c r="A960" s="6"/>
      <c r="B960" s="6"/>
      <c r="C960" s="6"/>
      <c r="D960" s="6"/>
      <c r="E960" s="6"/>
      <c r="F960" s="6"/>
      <c r="G960" s="6" t="str">
        <f>IFERROR(__xludf.DUMMYFUNCTION("""COMPUTED_VALUE"""),"")</f>
        <v/>
      </c>
      <c r="H960" s="6"/>
      <c r="I960" s="6"/>
      <c r="J960" s="6"/>
      <c r="K960" s="6"/>
      <c r="L960" s="6"/>
      <c r="M960" s="6"/>
      <c r="N960" s="6"/>
      <c r="O960" s="6"/>
      <c r="P960" s="6"/>
      <c r="Q960" s="6"/>
      <c r="R960" s="6"/>
      <c r="S960" s="6"/>
      <c r="T960" s="6"/>
      <c r="U960" s="6"/>
      <c r="V960" s="6"/>
      <c r="W960" s="6"/>
      <c r="X960" s="6"/>
    </row>
    <row r="961" hidden="1">
      <c r="A961" s="6"/>
      <c r="B961" s="6"/>
      <c r="C961" s="6"/>
      <c r="D961" s="6"/>
      <c r="E961" s="6"/>
      <c r="F961" s="6"/>
      <c r="G961" s="6" t="str">
        <f>IFERROR(__xludf.DUMMYFUNCTION("""COMPUTED_VALUE"""),"")</f>
        <v/>
      </c>
      <c r="H961" s="6"/>
      <c r="I961" s="6"/>
      <c r="J961" s="6"/>
      <c r="K961" s="6"/>
      <c r="L961" s="6"/>
      <c r="M961" s="6"/>
      <c r="N961" s="6"/>
      <c r="O961" s="6"/>
      <c r="P961" s="6"/>
      <c r="Q961" s="6"/>
      <c r="R961" s="6"/>
      <c r="S961" s="6"/>
      <c r="T961" s="6"/>
      <c r="U961" s="6"/>
      <c r="V961" s="6"/>
      <c r="W961" s="6"/>
      <c r="X961" s="6"/>
    </row>
    <row r="962" hidden="1">
      <c r="A962" s="6"/>
      <c r="B962" s="6"/>
      <c r="C962" s="6"/>
      <c r="D962" s="6"/>
      <c r="E962" s="6"/>
      <c r="F962" s="6"/>
      <c r="G962" s="6" t="str">
        <f>IFERROR(__xludf.DUMMYFUNCTION("""COMPUTED_VALUE"""),"")</f>
        <v/>
      </c>
      <c r="H962" s="6"/>
      <c r="I962" s="6"/>
      <c r="J962" s="6"/>
      <c r="K962" s="6"/>
      <c r="L962" s="6"/>
      <c r="M962" s="6"/>
      <c r="N962" s="6"/>
      <c r="O962" s="6"/>
      <c r="P962" s="6"/>
      <c r="Q962" s="6"/>
      <c r="R962" s="6"/>
      <c r="S962" s="6"/>
      <c r="T962" s="6"/>
      <c r="U962" s="6"/>
      <c r="V962" s="6"/>
      <c r="W962" s="6"/>
      <c r="X962" s="6"/>
    </row>
    <row r="963" hidden="1">
      <c r="A963" s="6"/>
      <c r="B963" s="6"/>
      <c r="C963" s="6"/>
      <c r="D963" s="6"/>
      <c r="E963" s="6"/>
      <c r="F963" s="6"/>
      <c r="G963" s="6" t="str">
        <f>IFERROR(__xludf.DUMMYFUNCTION("""COMPUTED_VALUE"""),"")</f>
        <v/>
      </c>
      <c r="H963" s="6"/>
      <c r="I963" s="6"/>
      <c r="J963" s="6"/>
      <c r="K963" s="6"/>
      <c r="L963" s="6"/>
      <c r="M963" s="6"/>
      <c r="N963" s="6"/>
      <c r="O963" s="6"/>
      <c r="P963" s="6"/>
      <c r="Q963" s="6"/>
      <c r="R963" s="6"/>
      <c r="S963" s="6"/>
      <c r="T963" s="6"/>
      <c r="U963" s="6"/>
      <c r="V963" s="6"/>
      <c r="W963" s="6"/>
      <c r="X963" s="6"/>
    </row>
    <row r="964" hidden="1">
      <c r="A964" s="6"/>
      <c r="B964" s="6"/>
      <c r="C964" s="6"/>
      <c r="D964" s="6"/>
      <c r="E964" s="6"/>
      <c r="F964" s="6"/>
      <c r="G964" s="6" t="str">
        <f>IFERROR(__xludf.DUMMYFUNCTION("""COMPUTED_VALUE"""),"")</f>
        <v/>
      </c>
      <c r="H964" s="6"/>
      <c r="I964" s="6"/>
      <c r="J964" s="6"/>
      <c r="K964" s="6"/>
      <c r="L964" s="6"/>
      <c r="M964" s="6"/>
      <c r="N964" s="6"/>
      <c r="O964" s="6"/>
      <c r="P964" s="6"/>
      <c r="Q964" s="6"/>
      <c r="R964" s="6"/>
      <c r="S964" s="6"/>
      <c r="T964" s="6"/>
      <c r="U964" s="6"/>
      <c r="V964" s="6"/>
      <c r="W964" s="6"/>
      <c r="X964" s="6"/>
    </row>
    <row r="965" hidden="1">
      <c r="A965" s="6"/>
      <c r="B965" s="6"/>
      <c r="C965" s="6"/>
      <c r="D965" s="6"/>
      <c r="E965" s="6"/>
      <c r="F965" s="6"/>
      <c r="G965" s="6" t="str">
        <f>IFERROR(__xludf.DUMMYFUNCTION("""COMPUTED_VALUE"""),"")</f>
        <v/>
      </c>
      <c r="H965" s="6"/>
      <c r="I965" s="6"/>
      <c r="J965" s="6"/>
      <c r="K965" s="6"/>
      <c r="L965" s="6"/>
      <c r="M965" s="6"/>
      <c r="N965" s="6"/>
      <c r="O965" s="6"/>
      <c r="P965" s="6"/>
      <c r="Q965" s="6"/>
      <c r="R965" s="6"/>
      <c r="S965" s="6"/>
      <c r="T965" s="6"/>
      <c r="U965" s="6"/>
      <c r="V965" s="6"/>
      <c r="W965" s="6"/>
      <c r="X965" s="6"/>
    </row>
    <row r="966" hidden="1">
      <c r="A966" s="6"/>
      <c r="B966" s="6"/>
      <c r="C966" s="6"/>
      <c r="D966" s="6"/>
      <c r="E966" s="6"/>
      <c r="F966" s="6"/>
      <c r="G966" s="6" t="str">
        <f>IFERROR(__xludf.DUMMYFUNCTION("""COMPUTED_VALUE"""),"")</f>
        <v/>
      </c>
      <c r="H966" s="6"/>
      <c r="I966" s="6"/>
      <c r="J966" s="6"/>
      <c r="K966" s="6"/>
      <c r="L966" s="6"/>
      <c r="M966" s="6"/>
      <c r="N966" s="6"/>
      <c r="O966" s="6"/>
      <c r="P966" s="6"/>
      <c r="Q966" s="6"/>
      <c r="R966" s="6"/>
      <c r="S966" s="6"/>
      <c r="T966" s="6"/>
      <c r="U966" s="6"/>
      <c r="V966" s="6"/>
      <c r="W966" s="6"/>
      <c r="X966" s="6"/>
    </row>
    <row r="967" hidden="1">
      <c r="A967" s="6"/>
      <c r="B967" s="6"/>
      <c r="C967" s="6"/>
      <c r="D967" s="6"/>
      <c r="E967" s="6"/>
      <c r="F967" s="6"/>
      <c r="G967" s="6" t="str">
        <f>IFERROR(__xludf.DUMMYFUNCTION("""COMPUTED_VALUE"""),"")</f>
        <v/>
      </c>
      <c r="H967" s="6"/>
      <c r="I967" s="6"/>
      <c r="J967" s="6"/>
      <c r="K967" s="6"/>
      <c r="L967" s="6"/>
      <c r="M967" s="6"/>
      <c r="N967" s="6"/>
      <c r="O967" s="6"/>
      <c r="P967" s="6"/>
      <c r="Q967" s="6"/>
      <c r="R967" s="6"/>
      <c r="S967" s="6"/>
      <c r="T967" s="6"/>
      <c r="U967" s="6"/>
      <c r="V967" s="6"/>
      <c r="W967" s="6"/>
      <c r="X967" s="6"/>
    </row>
    <row r="968" hidden="1">
      <c r="A968" s="6"/>
      <c r="B968" s="6"/>
      <c r="C968" s="6"/>
      <c r="D968" s="6"/>
      <c r="E968" s="6"/>
      <c r="F968" s="6"/>
      <c r="G968" s="6" t="str">
        <f>IFERROR(__xludf.DUMMYFUNCTION("""COMPUTED_VALUE"""),"")</f>
        <v/>
      </c>
      <c r="H968" s="6"/>
      <c r="I968" s="6"/>
      <c r="J968" s="6"/>
      <c r="K968" s="6"/>
      <c r="L968" s="6"/>
      <c r="M968" s="6"/>
      <c r="N968" s="6"/>
      <c r="O968" s="6"/>
      <c r="P968" s="6"/>
      <c r="Q968" s="6"/>
      <c r="R968" s="6"/>
      <c r="S968" s="6"/>
      <c r="T968" s="6"/>
      <c r="U968" s="6"/>
      <c r="V968" s="6"/>
      <c r="W968" s="6"/>
      <c r="X968" s="6"/>
    </row>
    <row r="969" hidden="1">
      <c r="A969" s="6"/>
      <c r="B969" s="6"/>
      <c r="C969" s="6"/>
      <c r="D969" s="6"/>
      <c r="E969" s="6"/>
      <c r="F969" s="6"/>
      <c r="G969" s="6" t="str">
        <f>IFERROR(__xludf.DUMMYFUNCTION("""COMPUTED_VALUE"""),"")</f>
        <v/>
      </c>
      <c r="H969" s="6"/>
      <c r="I969" s="6"/>
      <c r="J969" s="6"/>
      <c r="K969" s="6"/>
      <c r="L969" s="6"/>
      <c r="M969" s="6"/>
      <c r="N969" s="6"/>
      <c r="O969" s="6"/>
      <c r="P969" s="6"/>
      <c r="Q969" s="6"/>
      <c r="R969" s="6"/>
      <c r="S969" s="6"/>
      <c r="T969" s="6"/>
      <c r="U969" s="6"/>
      <c r="V969" s="6"/>
      <c r="W969" s="6"/>
      <c r="X969" s="6"/>
    </row>
    <row r="970" hidden="1">
      <c r="A970" s="6"/>
      <c r="B970" s="6"/>
      <c r="C970" s="6"/>
      <c r="D970" s="6"/>
      <c r="E970" s="6"/>
      <c r="F970" s="6"/>
      <c r="G970" s="6" t="str">
        <f>IFERROR(__xludf.DUMMYFUNCTION("""COMPUTED_VALUE"""),"")</f>
        <v/>
      </c>
      <c r="H970" s="6"/>
      <c r="I970" s="6"/>
      <c r="J970" s="6"/>
      <c r="K970" s="6"/>
      <c r="L970" s="6"/>
      <c r="M970" s="6"/>
      <c r="N970" s="6"/>
      <c r="O970" s="6"/>
      <c r="P970" s="6"/>
      <c r="Q970" s="6"/>
      <c r="R970" s="6"/>
      <c r="S970" s="6"/>
      <c r="T970" s="6"/>
      <c r="U970" s="6"/>
      <c r="V970" s="6"/>
      <c r="W970" s="6"/>
      <c r="X970" s="6"/>
    </row>
    <row r="971" hidden="1">
      <c r="A971" s="6"/>
      <c r="B971" s="6"/>
      <c r="C971" s="6"/>
      <c r="D971" s="6"/>
      <c r="E971" s="6"/>
      <c r="F971" s="6"/>
      <c r="G971" s="6" t="str">
        <f>IFERROR(__xludf.DUMMYFUNCTION("""COMPUTED_VALUE"""),"")</f>
        <v/>
      </c>
      <c r="H971" s="6"/>
      <c r="I971" s="6"/>
      <c r="J971" s="6"/>
      <c r="K971" s="6"/>
      <c r="L971" s="6"/>
      <c r="M971" s="6"/>
      <c r="N971" s="6"/>
      <c r="O971" s="6"/>
      <c r="P971" s="6"/>
      <c r="Q971" s="6"/>
      <c r="R971" s="6"/>
      <c r="S971" s="6"/>
      <c r="T971" s="6"/>
      <c r="U971" s="6"/>
      <c r="V971" s="6"/>
      <c r="W971" s="6"/>
      <c r="X971" s="6"/>
    </row>
    <row r="972" hidden="1">
      <c r="A972" s="6"/>
      <c r="B972" s="6"/>
      <c r="C972" s="6"/>
      <c r="D972" s="6"/>
      <c r="E972" s="6"/>
      <c r="F972" s="6"/>
      <c r="G972" s="6" t="str">
        <f>IFERROR(__xludf.DUMMYFUNCTION("""COMPUTED_VALUE"""),"")</f>
        <v/>
      </c>
      <c r="H972" s="6"/>
      <c r="I972" s="6"/>
      <c r="J972" s="6"/>
      <c r="K972" s="6"/>
      <c r="L972" s="6"/>
      <c r="M972" s="6"/>
      <c r="N972" s="6"/>
      <c r="O972" s="6"/>
      <c r="P972" s="6"/>
      <c r="Q972" s="6"/>
      <c r="R972" s="6"/>
      <c r="S972" s="6"/>
      <c r="T972" s="6"/>
      <c r="U972" s="6"/>
      <c r="V972" s="6"/>
      <c r="W972" s="6"/>
      <c r="X972" s="6"/>
    </row>
    <row r="973" hidden="1">
      <c r="A973" s="6"/>
      <c r="B973" s="6"/>
      <c r="C973" s="6"/>
      <c r="D973" s="6"/>
      <c r="E973" s="6"/>
      <c r="F973" s="6"/>
      <c r="G973" s="6" t="str">
        <f>IFERROR(__xludf.DUMMYFUNCTION("""COMPUTED_VALUE"""),"")</f>
        <v/>
      </c>
      <c r="H973" s="6"/>
      <c r="I973" s="6"/>
      <c r="J973" s="6"/>
      <c r="K973" s="6"/>
      <c r="L973" s="6"/>
      <c r="M973" s="6"/>
      <c r="N973" s="6"/>
      <c r="O973" s="6"/>
      <c r="P973" s="6"/>
      <c r="Q973" s="6"/>
      <c r="R973" s="6"/>
      <c r="S973" s="6"/>
      <c r="T973" s="6"/>
      <c r="U973" s="6"/>
      <c r="V973" s="6"/>
      <c r="W973" s="6"/>
      <c r="X973" s="6"/>
    </row>
    <row r="974" hidden="1">
      <c r="A974" s="6"/>
      <c r="B974" s="6"/>
      <c r="C974" s="6"/>
      <c r="D974" s="6"/>
      <c r="E974" s="6"/>
      <c r="F974" s="6"/>
      <c r="G974" s="6" t="str">
        <f>IFERROR(__xludf.DUMMYFUNCTION("""COMPUTED_VALUE"""),"")</f>
        <v/>
      </c>
      <c r="H974" s="6"/>
      <c r="I974" s="6"/>
      <c r="J974" s="6"/>
      <c r="K974" s="6"/>
      <c r="L974" s="6"/>
      <c r="M974" s="6"/>
      <c r="N974" s="6"/>
      <c r="O974" s="6"/>
      <c r="P974" s="6"/>
      <c r="Q974" s="6"/>
      <c r="R974" s="6"/>
      <c r="S974" s="6"/>
      <c r="T974" s="6"/>
      <c r="U974" s="6"/>
      <c r="V974" s="6"/>
      <c r="W974" s="6"/>
      <c r="X974" s="6"/>
    </row>
    <row r="975" hidden="1">
      <c r="A975" s="6"/>
      <c r="B975" s="6"/>
      <c r="C975" s="6"/>
      <c r="D975" s="6"/>
      <c r="E975" s="6"/>
      <c r="F975" s="6"/>
      <c r="G975" s="6" t="str">
        <f>IFERROR(__xludf.DUMMYFUNCTION("""COMPUTED_VALUE"""),"")</f>
        <v/>
      </c>
      <c r="H975" s="6"/>
      <c r="I975" s="6"/>
      <c r="J975" s="6"/>
      <c r="K975" s="6"/>
      <c r="L975" s="6"/>
      <c r="M975" s="6"/>
      <c r="N975" s="6"/>
      <c r="O975" s="6"/>
      <c r="P975" s="6"/>
      <c r="Q975" s="6"/>
      <c r="R975" s="6"/>
      <c r="S975" s="6"/>
      <c r="T975" s="6"/>
      <c r="U975" s="6"/>
      <c r="V975" s="6"/>
      <c r="W975" s="6"/>
      <c r="X975" s="6"/>
    </row>
    <row r="976" hidden="1">
      <c r="A976" s="6"/>
      <c r="B976" s="6"/>
      <c r="C976" s="6"/>
      <c r="D976" s="6"/>
      <c r="E976" s="6"/>
      <c r="F976" s="6"/>
      <c r="G976" s="6" t="str">
        <f>IFERROR(__xludf.DUMMYFUNCTION("""COMPUTED_VALUE"""),"")</f>
        <v/>
      </c>
      <c r="H976" s="6"/>
      <c r="I976" s="6"/>
      <c r="J976" s="6"/>
      <c r="K976" s="6"/>
      <c r="L976" s="6"/>
      <c r="M976" s="6"/>
      <c r="N976" s="6"/>
      <c r="O976" s="6"/>
      <c r="P976" s="6"/>
      <c r="Q976" s="6"/>
      <c r="R976" s="6"/>
      <c r="S976" s="6"/>
      <c r="T976" s="6"/>
      <c r="U976" s="6"/>
      <c r="V976" s="6"/>
      <c r="W976" s="6"/>
      <c r="X976" s="6"/>
    </row>
    <row r="977" hidden="1">
      <c r="A977" s="6"/>
      <c r="B977" s="6"/>
      <c r="C977" s="6"/>
      <c r="D977" s="6"/>
      <c r="E977" s="6"/>
      <c r="F977" s="6"/>
      <c r="G977" s="6" t="str">
        <f>IFERROR(__xludf.DUMMYFUNCTION("""COMPUTED_VALUE"""),"")</f>
        <v/>
      </c>
      <c r="H977" s="6"/>
      <c r="I977" s="6"/>
      <c r="J977" s="6"/>
      <c r="K977" s="6"/>
      <c r="L977" s="6"/>
      <c r="M977" s="6"/>
      <c r="N977" s="6"/>
      <c r="O977" s="6"/>
      <c r="P977" s="6"/>
      <c r="Q977" s="6"/>
      <c r="R977" s="6"/>
      <c r="S977" s="6"/>
      <c r="T977" s="6"/>
      <c r="U977" s="6"/>
      <c r="V977" s="6"/>
      <c r="W977" s="6"/>
      <c r="X977" s="6"/>
    </row>
    <row r="978" hidden="1">
      <c r="A978" s="6"/>
      <c r="B978" s="6"/>
      <c r="C978" s="6"/>
      <c r="D978" s="6"/>
      <c r="E978" s="6"/>
      <c r="F978" s="6"/>
      <c r="G978" s="6" t="str">
        <f>IFERROR(__xludf.DUMMYFUNCTION("""COMPUTED_VALUE"""),"")</f>
        <v/>
      </c>
      <c r="H978" s="6"/>
      <c r="I978" s="6"/>
      <c r="J978" s="6"/>
      <c r="K978" s="6"/>
      <c r="L978" s="6"/>
      <c r="M978" s="6"/>
      <c r="N978" s="6"/>
      <c r="O978" s="6"/>
      <c r="P978" s="6"/>
      <c r="Q978" s="6"/>
      <c r="R978" s="6"/>
      <c r="S978" s="6"/>
      <c r="T978" s="6"/>
      <c r="U978" s="6"/>
      <c r="V978" s="6"/>
      <c r="W978" s="6"/>
      <c r="X978" s="6"/>
    </row>
    <row r="979" hidden="1">
      <c r="A979" s="6"/>
      <c r="B979" s="6"/>
      <c r="C979" s="6"/>
      <c r="D979" s="6"/>
      <c r="E979" s="6"/>
      <c r="F979" s="6"/>
      <c r="G979" s="6" t="str">
        <f>IFERROR(__xludf.DUMMYFUNCTION("""COMPUTED_VALUE"""),"")</f>
        <v/>
      </c>
      <c r="H979" s="6"/>
      <c r="I979" s="6"/>
      <c r="J979" s="6"/>
      <c r="K979" s="6"/>
      <c r="L979" s="6"/>
      <c r="M979" s="6"/>
      <c r="N979" s="6"/>
      <c r="O979" s="6"/>
      <c r="P979" s="6"/>
      <c r="Q979" s="6"/>
      <c r="R979" s="6"/>
      <c r="S979" s="6"/>
      <c r="T979" s="6"/>
      <c r="U979" s="6"/>
      <c r="V979" s="6"/>
      <c r="W979" s="6"/>
      <c r="X979" s="6"/>
    </row>
    <row r="980" hidden="1">
      <c r="A980" s="6"/>
      <c r="B980" s="6"/>
      <c r="C980" s="6"/>
      <c r="D980" s="6"/>
      <c r="E980" s="6"/>
      <c r="F980" s="6"/>
      <c r="G980" s="6" t="str">
        <f>IFERROR(__xludf.DUMMYFUNCTION("""COMPUTED_VALUE"""),"")</f>
        <v/>
      </c>
      <c r="H980" s="6"/>
      <c r="I980" s="6"/>
      <c r="J980" s="6"/>
      <c r="K980" s="6"/>
      <c r="L980" s="6"/>
      <c r="M980" s="6"/>
      <c r="N980" s="6"/>
      <c r="O980" s="6"/>
      <c r="P980" s="6"/>
      <c r="Q980" s="6"/>
      <c r="R980" s="6"/>
      <c r="S980" s="6"/>
      <c r="T980" s="6"/>
      <c r="U980" s="6"/>
      <c r="V980" s="6"/>
      <c r="W980" s="6"/>
      <c r="X980" s="6"/>
    </row>
    <row r="981" hidden="1">
      <c r="A981" s="6"/>
      <c r="B981" s="6"/>
      <c r="C981" s="6"/>
      <c r="D981" s="6"/>
      <c r="E981" s="6"/>
      <c r="F981" s="6"/>
      <c r="G981" s="6" t="str">
        <f>IFERROR(__xludf.DUMMYFUNCTION("""COMPUTED_VALUE"""),"")</f>
        <v/>
      </c>
      <c r="H981" s="6"/>
      <c r="I981" s="6"/>
      <c r="J981" s="6"/>
      <c r="K981" s="6"/>
      <c r="L981" s="6"/>
      <c r="M981" s="6"/>
      <c r="N981" s="6"/>
      <c r="O981" s="6"/>
      <c r="P981" s="6"/>
      <c r="Q981" s="6"/>
      <c r="R981" s="6"/>
      <c r="S981" s="6"/>
      <c r="T981" s="6"/>
      <c r="U981" s="6"/>
      <c r="V981" s="6"/>
      <c r="W981" s="6"/>
      <c r="X981" s="6"/>
    </row>
    <row r="982" hidden="1">
      <c r="A982" s="6"/>
      <c r="B982" s="6"/>
      <c r="C982" s="6"/>
      <c r="D982" s="6"/>
      <c r="E982" s="6"/>
      <c r="F982" s="6"/>
      <c r="G982" s="6" t="str">
        <f>IFERROR(__xludf.DUMMYFUNCTION("""COMPUTED_VALUE"""),"")</f>
        <v/>
      </c>
      <c r="H982" s="6"/>
      <c r="I982" s="6"/>
      <c r="J982" s="6"/>
      <c r="K982" s="6"/>
      <c r="L982" s="6"/>
      <c r="M982" s="6"/>
      <c r="N982" s="6"/>
      <c r="O982" s="6"/>
      <c r="P982" s="6"/>
      <c r="Q982" s="6"/>
      <c r="R982" s="6"/>
      <c r="S982" s="6"/>
      <c r="T982" s="6"/>
      <c r="U982" s="6"/>
      <c r="V982" s="6"/>
      <c r="W982" s="6"/>
      <c r="X982" s="6"/>
    </row>
    <row r="983" hidden="1">
      <c r="A983" s="6"/>
      <c r="B983" s="6"/>
      <c r="C983" s="6"/>
      <c r="D983" s="6"/>
      <c r="E983" s="6"/>
      <c r="F983" s="6"/>
      <c r="G983" s="6" t="str">
        <f>IFERROR(__xludf.DUMMYFUNCTION("""COMPUTED_VALUE"""),"")</f>
        <v/>
      </c>
      <c r="H983" s="6"/>
      <c r="I983" s="6"/>
      <c r="J983" s="6"/>
      <c r="K983" s="6"/>
      <c r="L983" s="6"/>
      <c r="M983" s="6"/>
      <c r="N983" s="6"/>
      <c r="O983" s="6"/>
      <c r="P983" s="6"/>
      <c r="Q983" s="6"/>
      <c r="R983" s="6"/>
      <c r="S983" s="6"/>
      <c r="T983" s="6"/>
      <c r="U983" s="6"/>
      <c r="V983" s="6"/>
      <c r="W983" s="6"/>
      <c r="X983" s="6"/>
    </row>
    <row r="984" hidden="1">
      <c r="A984" s="6"/>
      <c r="B984" s="6"/>
      <c r="C984" s="6"/>
      <c r="D984" s="6"/>
      <c r="E984" s="6"/>
      <c r="F984" s="6"/>
      <c r="G984" s="6" t="str">
        <f>IFERROR(__xludf.DUMMYFUNCTION("""COMPUTED_VALUE"""),"")</f>
        <v/>
      </c>
      <c r="H984" s="6"/>
      <c r="I984" s="6"/>
      <c r="J984" s="6"/>
      <c r="K984" s="6"/>
      <c r="L984" s="6"/>
      <c r="M984" s="6"/>
      <c r="N984" s="6"/>
      <c r="O984" s="6"/>
      <c r="P984" s="6"/>
      <c r="Q984" s="6"/>
      <c r="R984" s="6"/>
      <c r="S984" s="6"/>
      <c r="T984" s="6"/>
      <c r="U984" s="6"/>
      <c r="V984" s="6"/>
      <c r="W984" s="6"/>
      <c r="X984" s="6"/>
    </row>
    <row r="985" hidden="1">
      <c r="A985" s="6"/>
      <c r="B985" s="6"/>
      <c r="C985" s="6"/>
      <c r="D985" s="6"/>
      <c r="E985" s="6"/>
      <c r="F985" s="6"/>
      <c r="G985" s="6" t="str">
        <f>IFERROR(__xludf.DUMMYFUNCTION("""COMPUTED_VALUE"""),"")</f>
        <v/>
      </c>
      <c r="H985" s="6"/>
      <c r="I985" s="6"/>
      <c r="J985" s="6"/>
      <c r="K985" s="6"/>
      <c r="L985" s="6"/>
      <c r="M985" s="6"/>
      <c r="N985" s="6"/>
      <c r="O985" s="6"/>
      <c r="P985" s="6"/>
      <c r="Q985" s="6"/>
      <c r="R985" s="6"/>
      <c r="S985" s="6"/>
      <c r="T985" s="6"/>
      <c r="U985" s="6"/>
      <c r="V985" s="6"/>
      <c r="W985" s="6"/>
      <c r="X985" s="6"/>
    </row>
    <row r="986" hidden="1">
      <c r="A986" s="6"/>
      <c r="B986" s="6"/>
      <c r="C986" s="6"/>
      <c r="D986" s="6"/>
      <c r="E986" s="6"/>
      <c r="F986" s="6"/>
      <c r="G986" s="6" t="str">
        <f>IFERROR(__xludf.DUMMYFUNCTION("""COMPUTED_VALUE"""),"")</f>
        <v/>
      </c>
      <c r="H986" s="6"/>
      <c r="I986" s="6"/>
      <c r="J986" s="6"/>
      <c r="K986" s="6"/>
      <c r="L986" s="6"/>
      <c r="M986" s="6"/>
      <c r="N986" s="6"/>
      <c r="O986" s="6"/>
      <c r="P986" s="6"/>
      <c r="Q986" s="6"/>
      <c r="R986" s="6"/>
      <c r="S986" s="6"/>
      <c r="T986" s="6"/>
      <c r="U986" s="6"/>
      <c r="V986" s="6"/>
      <c r="W986" s="6"/>
      <c r="X986" s="6"/>
    </row>
    <row r="987" hidden="1">
      <c r="A987" s="6"/>
      <c r="B987" s="6"/>
      <c r="C987" s="6"/>
      <c r="D987" s="6"/>
      <c r="E987" s="6"/>
      <c r="F987" s="6"/>
      <c r="G987" s="6" t="str">
        <f>IFERROR(__xludf.DUMMYFUNCTION("""COMPUTED_VALUE"""),"")</f>
        <v/>
      </c>
      <c r="H987" s="6"/>
      <c r="I987" s="6"/>
      <c r="J987" s="6"/>
      <c r="K987" s="6"/>
      <c r="L987" s="6"/>
      <c r="M987" s="6"/>
      <c r="N987" s="6"/>
      <c r="O987" s="6"/>
      <c r="P987" s="6"/>
      <c r="Q987" s="6"/>
      <c r="R987" s="6"/>
      <c r="S987" s="6"/>
      <c r="T987" s="6"/>
      <c r="U987" s="6"/>
      <c r="V987" s="6"/>
      <c r="W987" s="6"/>
      <c r="X987" s="6"/>
    </row>
    <row r="988" hidden="1">
      <c r="A988" s="6"/>
      <c r="B988" s="6"/>
      <c r="C988" s="6"/>
      <c r="D988" s="6"/>
      <c r="E988" s="6"/>
      <c r="F988" s="6"/>
      <c r="G988" s="6" t="str">
        <f>IFERROR(__xludf.DUMMYFUNCTION("""COMPUTED_VALUE"""),"")</f>
        <v/>
      </c>
      <c r="H988" s="6"/>
      <c r="I988" s="6"/>
      <c r="J988" s="6"/>
      <c r="K988" s="6"/>
      <c r="L988" s="6"/>
      <c r="M988" s="6"/>
      <c r="N988" s="6"/>
      <c r="O988" s="6"/>
      <c r="P988" s="6"/>
      <c r="Q988" s="6"/>
      <c r="R988" s="6"/>
      <c r="S988" s="6"/>
      <c r="T988" s="6"/>
      <c r="U988" s="6"/>
      <c r="V988" s="6"/>
      <c r="W988" s="6"/>
      <c r="X988" s="6"/>
    </row>
    <row r="989" hidden="1">
      <c r="A989" s="6"/>
      <c r="B989" s="6"/>
      <c r="C989" s="6"/>
      <c r="D989" s="6"/>
      <c r="E989" s="6"/>
      <c r="F989" s="6"/>
      <c r="G989" s="6" t="str">
        <f>IFERROR(__xludf.DUMMYFUNCTION("""COMPUTED_VALUE"""),"")</f>
        <v/>
      </c>
      <c r="H989" s="6"/>
      <c r="I989" s="6"/>
      <c r="J989" s="6"/>
      <c r="K989" s="6"/>
      <c r="L989" s="6"/>
      <c r="M989" s="6"/>
      <c r="N989" s="6"/>
      <c r="O989" s="6"/>
      <c r="P989" s="6"/>
      <c r="Q989" s="6"/>
      <c r="R989" s="6"/>
      <c r="S989" s="6"/>
      <c r="T989" s="6"/>
      <c r="U989" s="6"/>
      <c r="V989" s="6"/>
      <c r="W989" s="6"/>
      <c r="X989" s="6"/>
    </row>
    <row r="990" hidden="1">
      <c r="A990" s="6"/>
      <c r="B990" s="6"/>
      <c r="C990" s="6"/>
      <c r="D990" s="6"/>
      <c r="E990" s="6"/>
      <c r="F990" s="6"/>
      <c r="G990" s="6" t="str">
        <f>IFERROR(__xludf.DUMMYFUNCTION("""COMPUTED_VALUE"""),"")</f>
        <v/>
      </c>
      <c r="H990" s="6"/>
      <c r="I990" s="6"/>
      <c r="J990" s="6"/>
      <c r="K990" s="6"/>
      <c r="L990" s="6"/>
      <c r="M990" s="6"/>
      <c r="N990" s="6"/>
      <c r="O990" s="6"/>
      <c r="P990" s="6"/>
      <c r="Q990" s="6"/>
      <c r="R990" s="6"/>
      <c r="S990" s="6"/>
      <c r="T990" s="6"/>
      <c r="U990" s="6"/>
      <c r="V990" s="6"/>
      <c r="W990" s="6"/>
      <c r="X990" s="6"/>
    </row>
    <row r="991" hidden="1">
      <c r="A991" s="6"/>
      <c r="B991" s="6"/>
      <c r="C991" s="6"/>
      <c r="D991" s="6"/>
      <c r="E991" s="6"/>
      <c r="F991" s="6"/>
      <c r="G991" s="6" t="str">
        <f>IFERROR(__xludf.DUMMYFUNCTION("""COMPUTED_VALUE"""),"")</f>
        <v/>
      </c>
      <c r="H991" s="6"/>
      <c r="I991" s="6"/>
      <c r="J991" s="6"/>
      <c r="K991" s="6"/>
      <c r="L991" s="6"/>
      <c r="M991" s="6"/>
      <c r="N991" s="6"/>
      <c r="O991" s="6"/>
      <c r="P991" s="6"/>
      <c r="Q991" s="6"/>
      <c r="R991" s="6"/>
      <c r="S991" s="6"/>
      <c r="T991" s="6"/>
      <c r="U991" s="6"/>
      <c r="V991" s="6"/>
      <c r="W991" s="6"/>
      <c r="X991" s="6"/>
    </row>
    <row r="992" hidden="1">
      <c r="A992" s="6"/>
      <c r="B992" s="6"/>
      <c r="C992" s="6"/>
      <c r="D992" s="6"/>
      <c r="E992" s="6"/>
      <c r="F992" s="6"/>
      <c r="G992" s="6" t="str">
        <f>IFERROR(__xludf.DUMMYFUNCTION("""COMPUTED_VALUE"""),"")</f>
        <v/>
      </c>
      <c r="H992" s="6"/>
      <c r="I992" s="6"/>
      <c r="J992" s="6"/>
      <c r="K992" s="6"/>
      <c r="L992" s="6"/>
      <c r="M992" s="6"/>
      <c r="N992" s="6"/>
      <c r="O992" s="6"/>
      <c r="P992" s="6"/>
      <c r="Q992" s="6"/>
      <c r="R992" s="6"/>
      <c r="S992" s="6"/>
      <c r="T992" s="6"/>
      <c r="U992" s="6"/>
      <c r="V992" s="6"/>
      <c r="W992" s="6"/>
      <c r="X992" s="6"/>
    </row>
    <row r="993" hidden="1">
      <c r="A993" s="6"/>
      <c r="B993" s="6"/>
      <c r="C993" s="6"/>
      <c r="D993" s="6"/>
      <c r="E993" s="6"/>
      <c r="F993" s="6"/>
      <c r="G993" s="6" t="str">
        <f>IFERROR(__xludf.DUMMYFUNCTION("""COMPUTED_VALUE"""),"")</f>
        <v/>
      </c>
      <c r="H993" s="6"/>
      <c r="I993" s="6"/>
      <c r="J993" s="6"/>
      <c r="K993" s="6"/>
      <c r="L993" s="6"/>
      <c r="M993" s="6"/>
      <c r="N993" s="6"/>
      <c r="O993" s="6"/>
      <c r="P993" s="6"/>
      <c r="Q993" s="6"/>
      <c r="R993" s="6"/>
      <c r="S993" s="6"/>
      <c r="T993" s="6"/>
      <c r="U993" s="6"/>
      <c r="V993" s="6"/>
      <c r="W993" s="6"/>
      <c r="X993" s="6"/>
    </row>
    <row r="994" hidden="1">
      <c r="A994" s="6"/>
      <c r="B994" s="6"/>
      <c r="C994" s="6"/>
      <c r="D994" s="6"/>
      <c r="E994" s="6"/>
      <c r="F994" s="6"/>
      <c r="G994" s="6" t="str">
        <f>IFERROR(__xludf.DUMMYFUNCTION("""COMPUTED_VALUE"""),"")</f>
        <v/>
      </c>
      <c r="H994" s="6"/>
      <c r="I994" s="6"/>
      <c r="J994" s="6"/>
      <c r="K994" s="6"/>
      <c r="L994" s="6"/>
      <c r="M994" s="6"/>
      <c r="N994" s="6"/>
      <c r="O994" s="6"/>
      <c r="P994" s="6"/>
      <c r="Q994" s="6"/>
      <c r="R994" s="6"/>
      <c r="S994" s="6"/>
      <c r="T994" s="6"/>
      <c r="U994" s="6"/>
      <c r="V994" s="6"/>
      <c r="W994" s="6"/>
      <c r="X994" s="6"/>
    </row>
    <row r="995" hidden="1">
      <c r="A995" s="6"/>
      <c r="B995" s="6"/>
      <c r="C995" s="6"/>
      <c r="D995" s="6"/>
      <c r="E995" s="6"/>
      <c r="F995" s="6"/>
      <c r="G995" s="6" t="str">
        <f>IFERROR(__xludf.DUMMYFUNCTION("""COMPUTED_VALUE"""),"")</f>
        <v/>
      </c>
      <c r="H995" s="6"/>
      <c r="I995" s="6"/>
      <c r="J995" s="6"/>
      <c r="K995" s="6"/>
      <c r="L995" s="6"/>
      <c r="M995" s="6"/>
      <c r="N995" s="6"/>
      <c r="O995" s="6"/>
      <c r="P995" s="6"/>
      <c r="Q995" s="6"/>
      <c r="R995" s="6"/>
      <c r="S995" s="6"/>
      <c r="T995" s="6"/>
      <c r="U995" s="6"/>
      <c r="V995" s="6"/>
      <c r="W995" s="6"/>
      <c r="X995" s="6"/>
    </row>
    <row r="996" hidden="1">
      <c r="A996" s="6"/>
      <c r="B996" s="6"/>
      <c r="C996" s="6"/>
      <c r="D996" s="6"/>
      <c r="E996" s="6"/>
      <c r="F996" s="6"/>
      <c r="G996" s="6" t="str">
        <f>IFERROR(__xludf.DUMMYFUNCTION("""COMPUTED_VALUE"""),"")</f>
        <v/>
      </c>
      <c r="H996" s="6"/>
      <c r="I996" s="6"/>
      <c r="J996" s="6"/>
      <c r="K996" s="6"/>
      <c r="L996" s="6"/>
      <c r="M996" s="6"/>
      <c r="N996" s="6"/>
      <c r="O996" s="6"/>
      <c r="P996" s="6"/>
      <c r="Q996" s="6"/>
      <c r="R996" s="6"/>
      <c r="S996" s="6"/>
      <c r="T996" s="6"/>
      <c r="U996" s="6"/>
      <c r="V996" s="6"/>
      <c r="W996" s="6"/>
      <c r="X996" s="6"/>
    </row>
    <row r="997" hidden="1">
      <c r="A997" s="6"/>
      <c r="B997" s="6"/>
      <c r="C997" s="6"/>
      <c r="D997" s="6"/>
      <c r="E997" s="6"/>
      <c r="F997" s="6"/>
      <c r="G997" s="6" t="str">
        <f>IFERROR(__xludf.DUMMYFUNCTION("""COMPUTED_VALUE"""),"")</f>
        <v/>
      </c>
      <c r="H997" s="6"/>
      <c r="I997" s="6"/>
      <c r="J997" s="6"/>
      <c r="K997" s="6"/>
      <c r="L997" s="6"/>
      <c r="M997" s="6"/>
      <c r="N997" s="6"/>
      <c r="O997" s="6"/>
      <c r="P997" s="6"/>
      <c r="Q997" s="6"/>
      <c r="R997" s="6"/>
      <c r="S997" s="6"/>
      <c r="T997" s="6"/>
      <c r="U997" s="6"/>
      <c r="V997" s="6"/>
      <c r="W997" s="6"/>
      <c r="X997" s="6"/>
    </row>
    <row r="998" hidden="1">
      <c r="A998" s="6"/>
      <c r="B998" s="6"/>
      <c r="C998" s="6"/>
      <c r="D998" s="6"/>
      <c r="E998" s="6"/>
      <c r="F998" s="6"/>
      <c r="G998" s="6" t="str">
        <f>IFERROR(__xludf.DUMMYFUNCTION("""COMPUTED_VALUE"""),"")</f>
        <v/>
      </c>
      <c r="H998" s="6"/>
      <c r="I998" s="6"/>
      <c r="J998" s="6"/>
      <c r="K998" s="6"/>
      <c r="L998" s="6"/>
      <c r="M998" s="6"/>
      <c r="N998" s="6"/>
      <c r="O998" s="6"/>
      <c r="P998" s="6"/>
      <c r="Q998" s="6"/>
      <c r="R998" s="6"/>
      <c r="S998" s="6"/>
      <c r="T998" s="6"/>
      <c r="U998" s="6"/>
      <c r="V998" s="6"/>
      <c r="W998" s="6"/>
      <c r="X998" s="6"/>
    </row>
    <row r="999" hidden="1">
      <c r="A999" s="6"/>
      <c r="B999" s="6"/>
      <c r="C999" s="6"/>
      <c r="D999" s="6"/>
      <c r="E999" s="6"/>
      <c r="F999" s="6"/>
      <c r="G999" s="6" t="str">
        <f>IFERROR(__xludf.DUMMYFUNCTION("""COMPUTED_VALUE"""),"")</f>
        <v/>
      </c>
      <c r="H999" s="6"/>
      <c r="I999" s="6"/>
      <c r="J999" s="6"/>
      <c r="K999" s="6"/>
      <c r="L999" s="6"/>
      <c r="M999" s="6"/>
      <c r="N999" s="6"/>
      <c r="O999" s="6"/>
      <c r="P999" s="6"/>
      <c r="Q999" s="6"/>
      <c r="R999" s="6"/>
      <c r="S999" s="6"/>
      <c r="T999" s="6"/>
      <c r="U999" s="6"/>
      <c r="V999" s="6"/>
      <c r="W999" s="6"/>
      <c r="X999" s="6"/>
    </row>
    <row r="1000" hidden="1">
      <c r="A1000" s="6"/>
      <c r="B1000" s="6"/>
      <c r="C1000" s="6"/>
      <c r="D1000" s="6"/>
      <c r="E1000" s="6"/>
      <c r="F1000" s="6"/>
      <c r="G1000" s="6" t="str">
        <f>IFERROR(__xludf.DUMMYFUNCTION("""COMPUTED_VALUE"""),"")</f>
        <v/>
      </c>
      <c r="H1000" s="6"/>
      <c r="I1000" s="6"/>
      <c r="J1000" s="6"/>
      <c r="K1000" s="6"/>
      <c r="L1000" s="6"/>
      <c r="M1000" s="6"/>
      <c r="N1000" s="6"/>
      <c r="O1000" s="6"/>
      <c r="P1000" s="6"/>
      <c r="Q1000" s="6"/>
      <c r="R1000" s="6"/>
      <c r="S1000" s="6"/>
      <c r="T1000" s="6"/>
      <c r="U1000" s="6"/>
      <c r="V1000" s="6"/>
      <c r="W1000" s="6"/>
      <c r="X1000" s="6"/>
    </row>
    <row r="1001" hidden="1">
      <c r="A1001" s="6"/>
      <c r="B1001" s="6"/>
      <c r="C1001" s="6"/>
      <c r="D1001" s="6"/>
      <c r="E1001" s="6"/>
      <c r="F1001" s="6"/>
      <c r="G1001" s="6" t="str">
        <f>IFERROR(__xludf.DUMMYFUNCTION("""COMPUTED_VALUE"""),"")</f>
        <v/>
      </c>
      <c r="H1001" s="6"/>
      <c r="I1001" s="6"/>
      <c r="J1001" s="6"/>
      <c r="K1001" s="6"/>
      <c r="L1001" s="6"/>
      <c r="M1001" s="6"/>
      <c r="N1001" s="6"/>
      <c r="O1001" s="6"/>
      <c r="P1001" s="6"/>
      <c r="Q1001" s="6"/>
      <c r="R1001" s="6"/>
      <c r="S1001" s="6"/>
      <c r="T1001" s="6"/>
      <c r="U1001" s="6"/>
      <c r="V1001" s="6"/>
      <c r="W1001" s="6"/>
      <c r="X1001" s="6"/>
    </row>
    <row r="1002" hidden="1">
      <c r="A1002" s="6"/>
      <c r="B1002" s="6"/>
      <c r="C1002" s="6"/>
      <c r="D1002" s="6"/>
      <c r="E1002" s="6"/>
      <c r="F1002" s="6"/>
      <c r="G1002" s="6" t="str">
        <f>IFERROR(__xludf.DUMMYFUNCTION("""COMPUTED_VALUE"""),"")</f>
        <v/>
      </c>
      <c r="H1002" s="6"/>
      <c r="I1002" s="6"/>
      <c r="J1002" s="6"/>
      <c r="K1002" s="6"/>
      <c r="L1002" s="6"/>
      <c r="M1002" s="6"/>
      <c r="N1002" s="6"/>
      <c r="O1002" s="6"/>
      <c r="P1002" s="6"/>
      <c r="Q1002" s="6"/>
      <c r="R1002" s="6"/>
      <c r="S1002" s="6"/>
      <c r="T1002" s="6"/>
      <c r="U1002" s="6"/>
      <c r="V1002" s="6"/>
      <c r="W1002" s="6"/>
      <c r="X1002" s="6"/>
    </row>
    <row r="1003" hidden="1">
      <c r="A1003" s="6"/>
      <c r="B1003" s="6"/>
      <c r="C1003" s="6"/>
      <c r="D1003" s="6"/>
      <c r="E1003" s="6"/>
      <c r="F1003" s="6"/>
      <c r="G1003" s="6" t="str">
        <f>IFERROR(__xludf.DUMMYFUNCTION("""COMPUTED_VALUE"""),"")</f>
        <v/>
      </c>
      <c r="H1003" s="6"/>
      <c r="I1003" s="6"/>
      <c r="J1003" s="6"/>
      <c r="K1003" s="6"/>
      <c r="L1003" s="6"/>
      <c r="M1003" s="6"/>
      <c r="N1003" s="6"/>
      <c r="O1003" s="6"/>
      <c r="P1003" s="6"/>
      <c r="Q1003" s="6"/>
      <c r="R1003" s="6"/>
      <c r="S1003" s="6"/>
      <c r="T1003" s="6"/>
      <c r="U1003" s="6"/>
      <c r="V1003" s="6"/>
      <c r="W1003" s="6"/>
      <c r="X1003" s="6"/>
    </row>
    <row r="1004" hidden="1">
      <c r="A1004" s="6"/>
      <c r="B1004" s="6"/>
      <c r="C1004" s="6"/>
      <c r="D1004" s="6"/>
      <c r="E1004" s="6"/>
      <c r="F1004" s="6"/>
      <c r="G1004" s="6" t="str">
        <f>IFERROR(__xludf.DUMMYFUNCTION("""COMPUTED_VALUE"""),"")</f>
        <v/>
      </c>
      <c r="H1004" s="6"/>
      <c r="I1004" s="6"/>
      <c r="J1004" s="6"/>
      <c r="K1004" s="6"/>
      <c r="L1004" s="6"/>
      <c r="M1004" s="6"/>
      <c r="N1004" s="6"/>
      <c r="O1004" s="6"/>
      <c r="P1004" s="6"/>
      <c r="Q1004" s="6"/>
      <c r="R1004" s="6"/>
      <c r="S1004" s="6"/>
      <c r="T1004" s="6"/>
      <c r="U1004" s="6"/>
      <c r="V1004" s="6"/>
      <c r="W1004" s="6"/>
      <c r="X1004" s="6"/>
    </row>
    <row r="1005" hidden="1">
      <c r="A1005" s="6"/>
      <c r="B1005" s="6"/>
      <c r="C1005" s="6"/>
      <c r="D1005" s="6"/>
      <c r="E1005" s="6"/>
      <c r="F1005" s="6"/>
      <c r="G1005" s="6" t="str">
        <f>IFERROR(__xludf.DUMMYFUNCTION("""COMPUTED_VALUE"""),"")</f>
        <v/>
      </c>
      <c r="H1005" s="6"/>
      <c r="I1005" s="6"/>
      <c r="J1005" s="6"/>
      <c r="K1005" s="6"/>
      <c r="L1005" s="6"/>
      <c r="M1005" s="6"/>
      <c r="N1005" s="6"/>
      <c r="O1005" s="6"/>
      <c r="P1005" s="6"/>
      <c r="Q1005" s="6"/>
      <c r="R1005" s="6"/>
      <c r="S1005" s="6"/>
      <c r="T1005" s="6"/>
      <c r="U1005" s="6"/>
      <c r="V1005" s="6"/>
      <c r="W1005" s="6"/>
      <c r="X1005" s="6"/>
    </row>
    <row r="1006" hidden="1">
      <c r="A1006" s="6"/>
      <c r="B1006" s="6"/>
      <c r="C1006" s="6"/>
      <c r="D1006" s="6"/>
      <c r="E1006" s="6"/>
      <c r="F1006" s="6"/>
      <c r="G1006" s="6" t="str">
        <f>IFERROR(__xludf.DUMMYFUNCTION("""COMPUTED_VALUE"""),"")</f>
        <v/>
      </c>
      <c r="H1006" s="6"/>
      <c r="I1006" s="6"/>
      <c r="J1006" s="6"/>
      <c r="K1006" s="6"/>
      <c r="L1006" s="6"/>
      <c r="M1006" s="6"/>
      <c r="N1006" s="6"/>
      <c r="O1006" s="6"/>
      <c r="P1006" s="6"/>
      <c r="Q1006" s="6"/>
      <c r="R1006" s="6"/>
      <c r="S1006" s="6"/>
      <c r="T1006" s="6"/>
      <c r="U1006" s="6"/>
      <c r="V1006" s="6"/>
      <c r="W1006" s="6"/>
      <c r="X1006" s="6"/>
    </row>
    <row r="1007" hidden="1">
      <c r="A1007" s="6"/>
      <c r="B1007" s="6"/>
      <c r="C1007" s="6"/>
      <c r="D1007" s="6"/>
      <c r="E1007" s="6"/>
      <c r="F1007" s="6"/>
      <c r="G1007" s="6" t="str">
        <f>IFERROR(__xludf.DUMMYFUNCTION("""COMPUTED_VALUE"""),"")</f>
        <v/>
      </c>
      <c r="H1007" s="6"/>
      <c r="I1007" s="6"/>
      <c r="J1007" s="6"/>
      <c r="K1007" s="6"/>
      <c r="L1007" s="6"/>
      <c r="M1007" s="6"/>
      <c r="N1007" s="6"/>
      <c r="O1007" s="6"/>
      <c r="P1007" s="6"/>
      <c r="Q1007" s="6"/>
      <c r="R1007" s="6"/>
      <c r="S1007" s="6"/>
      <c r="T1007" s="6"/>
      <c r="U1007" s="6"/>
      <c r="V1007" s="6"/>
      <c r="W1007" s="6"/>
      <c r="X1007" s="6"/>
    </row>
    <row r="1008" hidden="1">
      <c r="A1008" s="6"/>
      <c r="B1008" s="6"/>
      <c r="C1008" s="6"/>
      <c r="D1008" s="6"/>
      <c r="E1008" s="6"/>
      <c r="F1008" s="5"/>
      <c r="G1008" s="6" t="str">
        <f>IFERROR(__xludf.DUMMYFUNCTION("""COMPUTED_VALUE"""),"")</f>
        <v/>
      </c>
      <c r="H1008" s="6"/>
      <c r="I1008" s="6"/>
      <c r="J1008" s="6"/>
      <c r="K1008" s="6"/>
      <c r="L1008" s="6"/>
      <c r="M1008" s="6"/>
      <c r="N1008" s="6"/>
      <c r="O1008" s="6"/>
      <c r="P1008" s="6"/>
      <c r="Q1008" s="6"/>
      <c r="R1008" s="6"/>
      <c r="S1008" s="6"/>
      <c r="T1008" s="6"/>
      <c r="U1008" s="6"/>
      <c r="V1008" s="6"/>
      <c r="W1008" s="6"/>
      <c r="X1008" s="6"/>
    </row>
  </sheetData>
  <autoFilter ref="$A$1:$X$1008">
    <filterColumn colId="2">
      <filters>
        <filter val="abor_lim"/>
        <filter val="contra_no_share"/>
        <filter val="contra_otc_script"/>
        <filter val="vase"/>
        <filter val="er_dys_man"/>
        <filter val="abor_man"/>
        <filter val="er_dys_lim"/>
        <filter val="contra_script"/>
        <filter val="gen_affirm_lim"/>
        <filter val="gen_affirm_man"/>
        <filter val="horm_ther"/>
        <filter val="fer_treat"/>
        <filter val="contra_ex_sup"/>
        <filter val="pros_scr"/>
        <filter val="contra_otc_wo_script"/>
      </filters>
    </filterColumn>
    <sortState ref="A1:X1008">
      <sortCondition descending="1" ref="B1:B1008"/>
      <sortCondition descending="1" ref="C1:C1008"/>
      <sortCondition ref="A1:A1008"/>
      <sortCondition descending="1" ref="F1:F1008"/>
      <sortCondition ref="D1:D1008"/>
    </sortState>
  </autoFil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13"/>
  </cols>
  <sheetData>
    <row r="1">
      <c r="A1" s="17" t="s">
        <v>464</v>
      </c>
      <c r="B1" s="17" t="s">
        <v>465</v>
      </c>
      <c r="C1" s="17" t="s">
        <v>466</v>
      </c>
      <c r="D1" s="17" t="s">
        <v>467</v>
      </c>
      <c r="E1" s="17" t="s">
        <v>468</v>
      </c>
      <c r="F1" s="17" t="s">
        <v>469</v>
      </c>
      <c r="G1" s="17" t="s">
        <v>470</v>
      </c>
      <c r="H1" s="18"/>
      <c r="I1" s="18"/>
      <c r="J1" s="18"/>
      <c r="K1" s="18"/>
      <c r="L1" s="18"/>
      <c r="M1" s="18"/>
      <c r="N1" s="18"/>
      <c r="O1" s="18"/>
      <c r="P1" s="18"/>
      <c r="Q1" s="18"/>
      <c r="R1" s="18"/>
      <c r="S1" s="18"/>
      <c r="T1" s="18"/>
      <c r="U1" s="18"/>
      <c r="V1" s="18"/>
      <c r="W1" s="18"/>
      <c r="X1" s="18"/>
      <c r="Y1" s="18"/>
      <c r="Z1" s="18"/>
      <c r="AA1" s="18"/>
      <c r="AB1" s="18"/>
      <c r="AC1" s="18"/>
    </row>
    <row r="2" hidden="1">
      <c r="A2" s="5" t="s">
        <v>125</v>
      </c>
      <c r="B2" s="5">
        <v>2018.0</v>
      </c>
      <c r="C2" s="5" t="s">
        <v>471</v>
      </c>
      <c r="D2" s="5" t="s">
        <v>472</v>
      </c>
      <c r="E2" s="5" t="s">
        <v>473</v>
      </c>
      <c r="F2" s="5" t="s">
        <v>474</v>
      </c>
      <c r="G2" s="5" t="s">
        <v>475</v>
      </c>
      <c r="H2" s="18"/>
      <c r="I2" s="18"/>
      <c r="J2" s="18"/>
      <c r="K2" s="18"/>
      <c r="L2" s="18"/>
      <c r="M2" s="18"/>
      <c r="N2" s="18"/>
      <c r="O2" s="18"/>
      <c r="P2" s="18"/>
      <c r="Q2" s="18"/>
      <c r="R2" s="18"/>
      <c r="S2" s="18"/>
      <c r="T2" s="18"/>
      <c r="U2" s="18"/>
      <c r="V2" s="18"/>
      <c r="W2" s="18"/>
      <c r="X2" s="18"/>
      <c r="Y2" s="18"/>
      <c r="Z2" s="18"/>
      <c r="AA2" s="18"/>
      <c r="AB2" s="18"/>
      <c r="AC2" s="18"/>
    </row>
    <row r="3" hidden="1">
      <c r="A3" s="5" t="s">
        <v>125</v>
      </c>
      <c r="B3" s="5">
        <v>2018.0</v>
      </c>
      <c r="C3" s="5" t="s">
        <v>471</v>
      </c>
      <c r="D3" s="5" t="s">
        <v>476</v>
      </c>
      <c r="E3" s="5" t="s">
        <v>473</v>
      </c>
      <c r="F3" s="5" t="s">
        <v>474</v>
      </c>
      <c r="G3" s="5" t="s">
        <v>475</v>
      </c>
      <c r="H3" s="18"/>
      <c r="I3" s="18"/>
      <c r="J3" s="18"/>
      <c r="K3" s="18"/>
      <c r="L3" s="18"/>
      <c r="M3" s="18"/>
      <c r="N3" s="18"/>
      <c r="O3" s="18"/>
      <c r="P3" s="18"/>
      <c r="Q3" s="18"/>
      <c r="R3" s="18"/>
      <c r="S3" s="18"/>
      <c r="T3" s="18"/>
      <c r="U3" s="18"/>
      <c r="V3" s="18"/>
      <c r="W3" s="18"/>
      <c r="X3" s="18"/>
      <c r="Y3" s="18"/>
      <c r="Z3" s="18"/>
      <c r="AA3" s="18"/>
      <c r="AB3" s="18"/>
      <c r="AC3" s="18"/>
    </row>
    <row r="4" hidden="1">
      <c r="A4" s="5" t="s">
        <v>125</v>
      </c>
      <c r="B4" s="5">
        <v>2018.0</v>
      </c>
      <c r="C4" s="5" t="s">
        <v>471</v>
      </c>
      <c r="D4" s="5" t="s">
        <v>477</v>
      </c>
      <c r="E4" s="5" t="s">
        <v>473</v>
      </c>
      <c r="F4" s="5" t="s">
        <v>474</v>
      </c>
      <c r="G4" s="5" t="s">
        <v>475</v>
      </c>
      <c r="H4" s="18"/>
      <c r="I4" s="18"/>
      <c r="J4" s="18"/>
      <c r="K4" s="19" t="s">
        <v>478</v>
      </c>
      <c r="L4" s="19" t="s">
        <v>479</v>
      </c>
      <c r="M4" s="18"/>
      <c r="N4" s="18"/>
      <c r="O4" s="18"/>
      <c r="P4" s="18"/>
      <c r="Q4" s="18"/>
      <c r="R4" s="18"/>
      <c r="S4" s="18"/>
      <c r="T4" s="18"/>
      <c r="U4" s="18"/>
      <c r="V4" s="18"/>
      <c r="W4" s="18"/>
      <c r="X4" s="18"/>
      <c r="Y4" s="18"/>
      <c r="Z4" s="18"/>
      <c r="AA4" s="18"/>
      <c r="AB4" s="18"/>
      <c r="AC4" s="18"/>
    </row>
    <row r="5" hidden="1">
      <c r="A5" s="5" t="s">
        <v>125</v>
      </c>
      <c r="B5" s="5">
        <v>2018.0</v>
      </c>
      <c r="C5" s="5" t="s">
        <v>471</v>
      </c>
      <c r="D5" s="5" t="s">
        <v>480</v>
      </c>
      <c r="E5" s="5" t="s">
        <v>473</v>
      </c>
      <c r="F5" s="5" t="s">
        <v>481</v>
      </c>
      <c r="G5" s="5" t="s">
        <v>475</v>
      </c>
      <c r="H5" s="18"/>
      <c r="I5" s="18"/>
      <c r="J5" s="18"/>
      <c r="K5" s="19" t="s">
        <v>482</v>
      </c>
      <c r="L5" s="19" t="s">
        <v>483</v>
      </c>
      <c r="M5" s="18"/>
      <c r="N5" s="18"/>
      <c r="O5" s="18"/>
      <c r="P5" s="18"/>
      <c r="Q5" s="18"/>
      <c r="R5" s="18"/>
      <c r="S5" s="18"/>
      <c r="T5" s="18"/>
      <c r="U5" s="18"/>
      <c r="V5" s="18"/>
      <c r="W5" s="18"/>
      <c r="X5" s="18"/>
      <c r="Y5" s="18"/>
      <c r="Z5" s="18"/>
      <c r="AA5" s="18"/>
      <c r="AB5" s="18"/>
      <c r="AC5" s="18"/>
    </row>
    <row r="6" hidden="1">
      <c r="A6" s="5" t="s">
        <v>125</v>
      </c>
      <c r="B6" s="5">
        <v>2018.0</v>
      </c>
      <c r="C6" s="5" t="s">
        <v>471</v>
      </c>
      <c r="D6" s="5" t="s">
        <v>484</v>
      </c>
      <c r="E6" s="5" t="s">
        <v>473</v>
      </c>
      <c r="F6" s="5" t="s">
        <v>474</v>
      </c>
      <c r="G6" s="5" t="s">
        <v>475</v>
      </c>
      <c r="H6" s="18"/>
      <c r="I6" s="18"/>
      <c r="J6" s="18"/>
      <c r="K6" s="19" t="s">
        <v>485</v>
      </c>
      <c r="L6" s="19" t="s">
        <v>486</v>
      </c>
      <c r="M6" s="18"/>
      <c r="N6" s="18"/>
      <c r="O6" s="18"/>
      <c r="P6" s="18"/>
      <c r="Q6" s="18"/>
      <c r="R6" s="18"/>
      <c r="S6" s="18"/>
      <c r="T6" s="18"/>
      <c r="U6" s="18"/>
      <c r="V6" s="18"/>
      <c r="W6" s="18"/>
      <c r="X6" s="18"/>
      <c r="Y6" s="18"/>
      <c r="Z6" s="18"/>
      <c r="AA6" s="18"/>
      <c r="AB6" s="18"/>
      <c r="AC6" s="18"/>
    </row>
    <row r="7" hidden="1">
      <c r="A7" s="5" t="s">
        <v>125</v>
      </c>
      <c r="B7" s="5">
        <v>2018.0</v>
      </c>
      <c r="C7" s="5" t="s">
        <v>471</v>
      </c>
      <c r="D7" s="5" t="s">
        <v>487</v>
      </c>
      <c r="E7" s="5" t="s">
        <v>473</v>
      </c>
      <c r="F7" s="5" t="s">
        <v>481</v>
      </c>
      <c r="G7" s="5" t="s">
        <v>488</v>
      </c>
      <c r="H7" s="18"/>
      <c r="I7" s="18"/>
      <c r="J7" s="18"/>
      <c r="K7" s="19" t="s">
        <v>489</v>
      </c>
      <c r="L7" s="19" t="s">
        <v>490</v>
      </c>
      <c r="M7" s="18"/>
      <c r="N7" s="18"/>
      <c r="O7" s="18"/>
      <c r="P7" s="18"/>
      <c r="Q7" s="18"/>
      <c r="R7" s="18"/>
      <c r="S7" s="18"/>
      <c r="T7" s="18"/>
      <c r="U7" s="18"/>
      <c r="V7" s="18"/>
      <c r="W7" s="18"/>
      <c r="X7" s="18"/>
      <c r="Y7" s="18"/>
      <c r="Z7" s="18"/>
      <c r="AA7" s="18"/>
      <c r="AB7" s="18"/>
      <c r="AC7" s="18"/>
    </row>
    <row r="8" hidden="1">
      <c r="A8" s="5" t="s">
        <v>125</v>
      </c>
      <c r="B8" s="5">
        <v>2018.0</v>
      </c>
      <c r="C8" s="5" t="s">
        <v>471</v>
      </c>
      <c r="D8" s="5" t="s">
        <v>491</v>
      </c>
      <c r="E8" s="5" t="s">
        <v>473</v>
      </c>
      <c r="F8" s="5" t="s">
        <v>474</v>
      </c>
      <c r="G8" s="5" t="s">
        <v>492</v>
      </c>
      <c r="H8" s="18"/>
      <c r="I8" s="18"/>
      <c r="J8" s="18"/>
      <c r="K8" s="19" t="s">
        <v>493</v>
      </c>
      <c r="L8" s="19" t="s">
        <v>494</v>
      </c>
      <c r="M8" s="18"/>
      <c r="N8" s="18"/>
      <c r="O8" s="18"/>
      <c r="P8" s="18"/>
      <c r="Q8" s="18"/>
      <c r="R8" s="18"/>
      <c r="S8" s="18"/>
      <c r="T8" s="18"/>
      <c r="U8" s="18"/>
      <c r="V8" s="18"/>
      <c r="W8" s="18"/>
      <c r="X8" s="18"/>
      <c r="Y8" s="18"/>
      <c r="Z8" s="18"/>
      <c r="AA8" s="18"/>
      <c r="AB8" s="18"/>
      <c r="AC8" s="18"/>
    </row>
    <row r="9" hidden="1">
      <c r="A9" s="5" t="s">
        <v>125</v>
      </c>
      <c r="B9" s="5">
        <v>2018.0</v>
      </c>
      <c r="C9" s="5" t="s">
        <v>471</v>
      </c>
      <c r="D9" s="5" t="s">
        <v>495</v>
      </c>
      <c r="E9" s="5" t="s">
        <v>473</v>
      </c>
      <c r="F9" s="5" t="s">
        <v>481</v>
      </c>
      <c r="G9" s="5" t="s">
        <v>475</v>
      </c>
      <c r="H9" s="18"/>
      <c r="I9" s="18"/>
      <c r="J9" s="18"/>
      <c r="K9" s="19" t="s">
        <v>496</v>
      </c>
      <c r="L9" s="19" t="s">
        <v>497</v>
      </c>
      <c r="M9" s="18"/>
      <c r="N9" s="18"/>
      <c r="O9" s="18"/>
      <c r="P9" s="18"/>
      <c r="Q9" s="18"/>
      <c r="R9" s="18"/>
      <c r="S9" s="18"/>
      <c r="T9" s="18"/>
      <c r="U9" s="18"/>
      <c r="V9" s="18"/>
      <c r="W9" s="18"/>
      <c r="X9" s="18"/>
      <c r="Y9" s="18"/>
      <c r="Z9" s="18"/>
      <c r="AA9" s="18"/>
      <c r="AB9" s="18"/>
      <c r="AC9" s="18"/>
    </row>
    <row r="10" hidden="1">
      <c r="A10" s="5" t="s">
        <v>125</v>
      </c>
      <c r="B10" s="5">
        <v>2018.0</v>
      </c>
      <c r="C10" s="5" t="s">
        <v>471</v>
      </c>
      <c r="D10" s="5" t="s">
        <v>498</v>
      </c>
      <c r="E10" s="5" t="s">
        <v>473</v>
      </c>
      <c r="F10" s="5" t="s">
        <v>474</v>
      </c>
      <c r="G10" s="5" t="s">
        <v>475</v>
      </c>
      <c r="H10" s="18"/>
      <c r="I10" s="18"/>
      <c r="J10" s="18"/>
      <c r="K10" s="19" t="s">
        <v>499</v>
      </c>
      <c r="L10" s="19" t="s">
        <v>500</v>
      </c>
      <c r="M10" s="18"/>
      <c r="N10" s="18"/>
      <c r="O10" s="18"/>
      <c r="P10" s="18"/>
      <c r="Q10" s="18"/>
      <c r="R10" s="18"/>
      <c r="S10" s="18"/>
      <c r="T10" s="18"/>
      <c r="U10" s="18"/>
      <c r="V10" s="18"/>
      <c r="W10" s="18"/>
      <c r="X10" s="18"/>
      <c r="Y10" s="18"/>
      <c r="Z10" s="18"/>
      <c r="AA10" s="18"/>
      <c r="AB10" s="18"/>
      <c r="AC10" s="18"/>
    </row>
    <row r="11" hidden="1">
      <c r="A11" s="5" t="s">
        <v>125</v>
      </c>
      <c r="B11" s="5">
        <v>2018.0</v>
      </c>
      <c r="C11" s="5" t="s">
        <v>471</v>
      </c>
      <c r="D11" s="5" t="s">
        <v>501</v>
      </c>
      <c r="E11" s="5" t="s">
        <v>473</v>
      </c>
      <c r="F11" s="5" t="s">
        <v>481</v>
      </c>
      <c r="G11" s="5" t="s">
        <v>475</v>
      </c>
      <c r="H11" s="18"/>
      <c r="I11" s="18"/>
      <c r="J11" s="18"/>
      <c r="K11" s="19" t="s">
        <v>502</v>
      </c>
      <c r="L11" s="19" t="s">
        <v>503</v>
      </c>
      <c r="M11" s="18"/>
      <c r="N11" s="18"/>
      <c r="O11" s="18"/>
      <c r="P11" s="18"/>
      <c r="Q11" s="18"/>
      <c r="R11" s="18"/>
      <c r="S11" s="18"/>
      <c r="T11" s="18"/>
      <c r="U11" s="18"/>
      <c r="V11" s="18"/>
      <c r="W11" s="18"/>
      <c r="X11" s="18"/>
      <c r="Y11" s="18"/>
      <c r="Z11" s="18"/>
      <c r="AA11" s="18"/>
      <c r="AB11" s="18"/>
      <c r="AC11" s="18"/>
    </row>
    <row r="12" hidden="1">
      <c r="A12" s="5" t="s">
        <v>125</v>
      </c>
      <c r="B12" s="5">
        <v>2018.0</v>
      </c>
      <c r="C12" s="5" t="s">
        <v>471</v>
      </c>
      <c r="D12" s="5" t="s">
        <v>504</v>
      </c>
      <c r="E12" s="5" t="s">
        <v>473</v>
      </c>
      <c r="F12" s="5" t="s">
        <v>481</v>
      </c>
      <c r="G12" s="5" t="s">
        <v>475</v>
      </c>
      <c r="H12" s="18"/>
      <c r="I12" s="18"/>
      <c r="J12" s="18"/>
      <c r="K12" s="19" t="s">
        <v>505</v>
      </c>
      <c r="L12" s="19" t="s">
        <v>506</v>
      </c>
      <c r="M12" s="18"/>
      <c r="N12" s="18"/>
      <c r="O12" s="18"/>
      <c r="P12" s="18"/>
      <c r="Q12" s="18"/>
      <c r="R12" s="18"/>
      <c r="S12" s="18"/>
      <c r="T12" s="18"/>
      <c r="U12" s="18"/>
      <c r="V12" s="18"/>
      <c r="W12" s="18"/>
      <c r="X12" s="18"/>
      <c r="Y12" s="18"/>
      <c r="Z12" s="18"/>
      <c r="AA12" s="18"/>
      <c r="AB12" s="18"/>
      <c r="AC12" s="18"/>
    </row>
    <row r="13" hidden="1">
      <c r="A13" s="5" t="s">
        <v>125</v>
      </c>
      <c r="B13" s="5">
        <v>2018.0</v>
      </c>
      <c r="C13" s="5" t="s">
        <v>471</v>
      </c>
      <c r="D13" s="5" t="s">
        <v>507</v>
      </c>
      <c r="E13" s="5" t="s">
        <v>473</v>
      </c>
      <c r="F13" s="5" t="s">
        <v>474</v>
      </c>
      <c r="G13" s="5" t="s">
        <v>475</v>
      </c>
      <c r="H13" s="18"/>
      <c r="I13" s="18"/>
      <c r="J13" s="18"/>
      <c r="K13" s="19" t="s">
        <v>508</v>
      </c>
      <c r="L13" s="19" t="s">
        <v>509</v>
      </c>
      <c r="M13" s="18"/>
      <c r="N13" s="18"/>
      <c r="O13" s="18"/>
      <c r="P13" s="18"/>
      <c r="Q13" s="18"/>
      <c r="R13" s="18"/>
      <c r="S13" s="18"/>
      <c r="T13" s="18"/>
      <c r="U13" s="18"/>
      <c r="V13" s="18"/>
      <c r="W13" s="18"/>
      <c r="X13" s="18"/>
      <c r="Y13" s="18"/>
      <c r="Z13" s="18"/>
      <c r="AA13" s="18"/>
      <c r="AB13" s="18"/>
      <c r="AC13" s="18"/>
    </row>
    <row r="14" hidden="1">
      <c r="A14" s="5" t="s">
        <v>125</v>
      </c>
      <c r="B14" s="5">
        <v>2018.0</v>
      </c>
      <c r="C14" s="5" t="s">
        <v>471</v>
      </c>
      <c r="D14" s="5" t="s">
        <v>510</v>
      </c>
      <c r="E14" s="5" t="s">
        <v>473</v>
      </c>
      <c r="F14" s="5" t="s">
        <v>481</v>
      </c>
      <c r="G14" s="5" t="s">
        <v>475</v>
      </c>
      <c r="H14" s="18"/>
      <c r="I14" s="18"/>
      <c r="J14" s="18"/>
      <c r="K14" s="19" t="s">
        <v>511</v>
      </c>
      <c r="L14" s="19" t="s">
        <v>512</v>
      </c>
      <c r="M14" s="18"/>
      <c r="N14" s="18"/>
      <c r="O14" s="18"/>
      <c r="P14" s="18"/>
      <c r="Q14" s="18"/>
      <c r="R14" s="18"/>
      <c r="S14" s="18"/>
      <c r="T14" s="18"/>
      <c r="U14" s="18"/>
      <c r="V14" s="18"/>
      <c r="W14" s="18"/>
      <c r="X14" s="18"/>
      <c r="Y14" s="18"/>
      <c r="Z14" s="18"/>
      <c r="AA14" s="18"/>
      <c r="AB14" s="18"/>
      <c r="AC14" s="18"/>
    </row>
    <row r="15" hidden="1">
      <c r="A15" s="5" t="s">
        <v>125</v>
      </c>
      <c r="B15" s="5">
        <v>2018.0</v>
      </c>
      <c r="C15" s="5" t="s">
        <v>471</v>
      </c>
      <c r="D15" s="5" t="s">
        <v>513</v>
      </c>
      <c r="E15" s="5" t="s">
        <v>514</v>
      </c>
      <c r="F15" s="5" t="s">
        <v>474</v>
      </c>
      <c r="G15" s="5" t="s">
        <v>475</v>
      </c>
      <c r="H15" s="18"/>
      <c r="I15" s="18"/>
      <c r="J15" s="18"/>
      <c r="K15" s="19" t="s">
        <v>515</v>
      </c>
      <c r="L15" s="19" t="s">
        <v>516</v>
      </c>
      <c r="M15" s="18"/>
      <c r="N15" s="18"/>
      <c r="O15" s="18"/>
      <c r="P15" s="18"/>
      <c r="Q15" s="18"/>
      <c r="R15" s="18"/>
      <c r="S15" s="18"/>
      <c r="T15" s="18"/>
      <c r="U15" s="18"/>
      <c r="V15" s="18"/>
      <c r="W15" s="18"/>
      <c r="X15" s="18"/>
      <c r="Y15" s="18"/>
      <c r="Z15" s="18"/>
      <c r="AA15" s="18"/>
      <c r="AB15" s="18"/>
      <c r="AC15" s="18"/>
    </row>
    <row r="16" hidden="1">
      <c r="A16" s="5" t="s">
        <v>125</v>
      </c>
      <c r="B16" s="5">
        <v>2018.0</v>
      </c>
      <c r="C16" s="5" t="s">
        <v>471</v>
      </c>
      <c r="D16" s="5" t="s">
        <v>517</v>
      </c>
      <c r="E16" s="5" t="s">
        <v>514</v>
      </c>
      <c r="F16" s="5" t="s">
        <v>474</v>
      </c>
      <c r="G16" s="5" t="s">
        <v>475</v>
      </c>
      <c r="H16" s="18"/>
      <c r="I16" s="18"/>
      <c r="J16" s="18"/>
      <c r="K16" s="19" t="s">
        <v>485</v>
      </c>
      <c r="L16" s="19" t="s">
        <v>518</v>
      </c>
      <c r="M16" s="18"/>
      <c r="N16" s="18"/>
      <c r="O16" s="18"/>
      <c r="P16" s="18"/>
      <c r="Q16" s="18"/>
      <c r="R16" s="18"/>
      <c r="S16" s="18"/>
      <c r="T16" s="18"/>
      <c r="U16" s="18"/>
      <c r="V16" s="18"/>
      <c r="W16" s="18"/>
      <c r="X16" s="18"/>
      <c r="Y16" s="18"/>
      <c r="Z16" s="18"/>
      <c r="AA16" s="18"/>
      <c r="AB16" s="18"/>
      <c r="AC16" s="18"/>
    </row>
    <row r="17" hidden="1">
      <c r="A17" s="5" t="s">
        <v>125</v>
      </c>
      <c r="B17" s="5">
        <v>2018.0</v>
      </c>
      <c r="C17" s="5" t="s">
        <v>471</v>
      </c>
      <c r="D17" s="5" t="s">
        <v>519</v>
      </c>
      <c r="E17" s="5" t="s">
        <v>473</v>
      </c>
      <c r="F17" s="5" t="s">
        <v>481</v>
      </c>
      <c r="G17" s="5" t="s">
        <v>475</v>
      </c>
      <c r="H17" s="18"/>
      <c r="I17" s="18"/>
      <c r="J17" s="18"/>
      <c r="K17" s="19" t="s">
        <v>520</v>
      </c>
      <c r="L17" s="19" t="s">
        <v>521</v>
      </c>
      <c r="M17" s="18"/>
      <c r="N17" s="18"/>
      <c r="O17" s="18"/>
      <c r="P17" s="18"/>
      <c r="Q17" s="18"/>
      <c r="R17" s="18"/>
      <c r="S17" s="18"/>
      <c r="T17" s="18"/>
      <c r="U17" s="18"/>
      <c r="V17" s="18"/>
      <c r="W17" s="18"/>
      <c r="X17" s="18"/>
      <c r="Y17" s="18"/>
      <c r="Z17" s="18"/>
      <c r="AA17" s="18"/>
      <c r="AB17" s="18"/>
      <c r="AC17" s="18"/>
    </row>
    <row r="18" hidden="1">
      <c r="A18" s="5" t="s">
        <v>125</v>
      </c>
      <c r="B18" s="5">
        <v>2018.0</v>
      </c>
      <c r="C18" s="5" t="s">
        <v>471</v>
      </c>
      <c r="D18" s="5" t="s">
        <v>522</v>
      </c>
      <c r="E18" s="5" t="s">
        <v>514</v>
      </c>
      <c r="F18" s="5" t="s">
        <v>481</v>
      </c>
      <c r="G18" s="5" t="s">
        <v>475</v>
      </c>
      <c r="H18" s="18"/>
      <c r="I18" s="18"/>
      <c r="J18" s="18"/>
      <c r="K18" s="19" t="s">
        <v>523</v>
      </c>
      <c r="L18" s="19" t="s">
        <v>524</v>
      </c>
      <c r="M18" s="18"/>
      <c r="N18" s="18"/>
      <c r="O18" s="18"/>
      <c r="P18" s="18"/>
      <c r="Q18" s="18"/>
      <c r="R18" s="18"/>
      <c r="S18" s="18"/>
      <c r="T18" s="18"/>
      <c r="U18" s="18"/>
      <c r="V18" s="18"/>
      <c r="W18" s="18"/>
      <c r="X18" s="18"/>
      <c r="Y18" s="18"/>
      <c r="Z18" s="18"/>
      <c r="AA18" s="18"/>
      <c r="AB18" s="18"/>
      <c r="AC18" s="18"/>
    </row>
    <row r="19" hidden="1">
      <c r="A19" s="5" t="s">
        <v>125</v>
      </c>
      <c r="B19" s="5">
        <v>2018.0</v>
      </c>
      <c r="C19" s="5" t="s">
        <v>471</v>
      </c>
      <c r="D19" s="5" t="s">
        <v>525</v>
      </c>
      <c r="E19" s="5" t="s">
        <v>514</v>
      </c>
      <c r="F19" s="5" t="s">
        <v>481</v>
      </c>
      <c r="G19" s="5" t="s">
        <v>475</v>
      </c>
      <c r="H19" s="18"/>
      <c r="I19" s="18"/>
      <c r="J19" s="18"/>
      <c r="K19" s="19" t="s">
        <v>526</v>
      </c>
      <c r="L19" s="19" t="s">
        <v>527</v>
      </c>
      <c r="M19" s="18"/>
      <c r="N19" s="18"/>
      <c r="O19" s="18"/>
      <c r="P19" s="18"/>
      <c r="Q19" s="18"/>
      <c r="R19" s="18"/>
      <c r="S19" s="18"/>
      <c r="T19" s="18"/>
      <c r="U19" s="18"/>
      <c r="V19" s="18"/>
      <c r="W19" s="18"/>
      <c r="X19" s="18"/>
      <c r="Y19" s="18"/>
      <c r="Z19" s="18"/>
      <c r="AA19" s="18"/>
      <c r="AB19" s="18"/>
      <c r="AC19" s="18"/>
    </row>
    <row r="20" hidden="1">
      <c r="A20" s="5" t="s">
        <v>125</v>
      </c>
      <c r="B20" s="5">
        <v>2018.0</v>
      </c>
      <c r="C20" s="5" t="s">
        <v>471</v>
      </c>
      <c r="D20" s="5" t="s">
        <v>528</v>
      </c>
      <c r="E20" s="5" t="s">
        <v>473</v>
      </c>
      <c r="F20" s="5" t="s">
        <v>481</v>
      </c>
      <c r="G20" s="5" t="s">
        <v>475</v>
      </c>
      <c r="H20" s="18"/>
      <c r="I20" s="18"/>
      <c r="J20" s="18"/>
      <c r="K20" s="19" t="s">
        <v>529</v>
      </c>
      <c r="L20" s="19" t="s">
        <v>530</v>
      </c>
      <c r="M20" s="18"/>
      <c r="N20" s="18"/>
      <c r="O20" s="18"/>
      <c r="P20" s="18"/>
      <c r="Q20" s="18"/>
      <c r="R20" s="18"/>
      <c r="S20" s="18"/>
      <c r="T20" s="18"/>
      <c r="U20" s="18"/>
      <c r="V20" s="18"/>
      <c r="W20" s="18"/>
      <c r="X20" s="18"/>
      <c r="Y20" s="18"/>
      <c r="Z20" s="18"/>
      <c r="AA20" s="18"/>
      <c r="AB20" s="18"/>
      <c r="AC20" s="18"/>
    </row>
    <row r="21" hidden="1">
      <c r="A21" s="5" t="s">
        <v>125</v>
      </c>
      <c r="B21" s="5">
        <v>2018.0</v>
      </c>
      <c r="C21" s="5" t="s">
        <v>471</v>
      </c>
      <c r="D21" s="5" t="s">
        <v>531</v>
      </c>
      <c r="E21" s="5" t="s">
        <v>473</v>
      </c>
      <c r="F21" s="5" t="s">
        <v>481</v>
      </c>
      <c r="G21" s="5" t="s">
        <v>475</v>
      </c>
      <c r="H21" s="18"/>
      <c r="I21" s="18"/>
      <c r="J21" s="18"/>
      <c r="K21" s="19" t="s">
        <v>532</v>
      </c>
      <c r="L21" s="19" t="s">
        <v>533</v>
      </c>
      <c r="M21" s="18"/>
      <c r="N21" s="18"/>
      <c r="O21" s="18"/>
      <c r="P21" s="18"/>
      <c r="Q21" s="18"/>
      <c r="R21" s="18"/>
      <c r="S21" s="18"/>
      <c r="T21" s="18"/>
      <c r="U21" s="18"/>
      <c r="V21" s="18"/>
      <c r="W21" s="18"/>
      <c r="X21" s="18"/>
      <c r="Y21" s="18"/>
      <c r="Z21" s="18"/>
      <c r="AA21" s="18"/>
      <c r="AB21" s="18"/>
      <c r="AC21" s="18"/>
    </row>
    <row r="22" hidden="1">
      <c r="A22" s="5" t="s">
        <v>125</v>
      </c>
      <c r="B22" s="5">
        <v>2018.0</v>
      </c>
      <c r="C22" s="5" t="s">
        <v>471</v>
      </c>
      <c r="D22" s="5" t="s">
        <v>534</v>
      </c>
      <c r="E22" s="5" t="s">
        <v>473</v>
      </c>
      <c r="F22" s="5" t="s">
        <v>481</v>
      </c>
      <c r="G22" s="5" t="s">
        <v>492</v>
      </c>
      <c r="H22" s="18"/>
      <c r="I22" s="18"/>
      <c r="J22" s="18"/>
      <c r="K22" s="19" t="s">
        <v>535</v>
      </c>
      <c r="L22" s="19" t="s">
        <v>536</v>
      </c>
      <c r="M22" s="18"/>
      <c r="N22" s="18"/>
      <c r="O22" s="18"/>
      <c r="P22" s="18"/>
      <c r="Q22" s="18"/>
      <c r="R22" s="18"/>
      <c r="S22" s="18"/>
      <c r="T22" s="18"/>
      <c r="U22" s="18"/>
      <c r="V22" s="18"/>
      <c r="W22" s="18"/>
      <c r="X22" s="18"/>
      <c r="Y22" s="18"/>
      <c r="Z22" s="18"/>
      <c r="AA22" s="18"/>
      <c r="AB22" s="18"/>
      <c r="AC22" s="18"/>
    </row>
    <row r="23" hidden="1">
      <c r="A23" s="5" t="s">
        <v>125</v>
      </c>
      <c r="B23" s="5">
        <v>2018.0</v>
      </c>
      <c r="C23" s="5" t="s">
        <v>471</v>
      </c>
      <c r="D23" s="5" t="s">
        <v>537</v>
      </c>
      <c r="E23" s="5" t="s">
        <v>473</v>
      </c>
      <c r="F23" s="5" t="s">
        <v>474</v>
      </c>
      <c r="G23" s="5" t="s">
        <v>475</v>
      </c>
      <c r="H23" s="18"/>
      <c r="I23" s="18"/>
      <c r="J23" s="18"/>
      <c r="K23" s="19" t="s">
        <v>532</v>
      </c>
      <c r="L23" s="19" t="s">
        <v>538</v>
      </c>
      <c r="M23" s="18"/>
      <c r="N23" s="18"/>
      <c r="O23" s="18"/>
      <c r="P23" s="18"/>
      <c r="Q23" s="18"/>
      <c r="R23" s="18"/>
      <c r="S23" s="18"/>
      <c r="T23" s="18"/>
      <c r="U23" s="18"/>
      <c r="V23" s="18"/>
      <c r="W23" s="18"/>
      <c r="X23" s="18"/>
      <c r="Y23" s="18"/>
      <c r="Z23" s="18"/>
      <c r="AA23" s="18"/>
      <c r="AB23" s="18"/>
      <c r="AC23" s="18"/>
    </row>
    <row r="24" hidden="1">
      <c r="A24" s="5" t="s">
        <v>125</v>
      </c>
      <c r="B24" s="5">
        <v>2018.0</v>
      </c>
      <c r="C24" s="5" t="s">
        <v>471</v>
      </c>
      <c r="D24" s="5" t="s">
        <v>539</v>
      </c>
      <c r="E24" s="5" t="s">
        <v>473</v>
      </c>
      <c r="F24" s="5" t="s">
        <v>474</v>
      </c>
      <c r="G24" s="5" t="s">
        <v>475</v>
      </c>
      <c r="H24" s="18"/>
      <c r="I24" s="18"/>
      <c r="J24" s="18"/>
      <c r="K24" s="19" t="s">
        <v>540</v>
      </c>
      <c r="L24" s="19" t="s">
        <v>541</v>
      </c>
      <c r="M24" s="18"/>
      <c r="N24" s="18"/>
      <c r="O24" s="18"/>
      <c r="P24" s="18"/>
      <c r="Q24" s="18"/>
      <c r="R24" s="18"/>
      <c r="S24" s="18"/>
      <c r="T24" s="18"/>
      <c r="U24" s="18"/>
      <c r="V24" s="18"/>
      <c r="W24" s="18"/>
      <c r="X24" s="18"/>
      <c r="Y24" s="18"/>
      <c r="Z24" s="18"/>
      <c r="AA24" s="18"/>
      <c r="AB24" s="18"/>
      <c r="AC24" s="18"/>
    </row>
    <row r="25" hidden="1">
      <c r="A25" s="5" t="s">
        <v>125</v>
      </c>
      <c r="B25" s="5">
        <v>2018.0</v>
      </c>
      <c r="C25" s="5" t="s">
        <v>471</v>
      </c>
      <c r="D25" s="5" t="s">
        <v>542</v>
      </c>
      <c r="E25" s="5" t="s">
        <v>473</v>
      </c>
      <c r="F25" s="5" t="s">
        <v>481</v>
      </c>
      <c r="G25" s="5" t="s">
        <v>475</v>
      </c>
      <c r="H25" s="18"/>
      <c r="I25" s="18"/>
      <c r="J25" s="18"/>
      <c r="K25" s="19" t="s">
        <v>543</v>
      </c>
      <c r="L25" s="19" t="s">
        <v>544</v>
      </c>
      <c r="M25" s="18"/>
      <c r="N25" s="18"/>
      <c r="O25" s="18"/>
      <c r="P25" s="18"/>
      <c r="Q25" s="18"/>
      <c r="R25" s="18"/>
      <c r="S25" s="18"/>
      <c r="T25" s="18"/>
      <c r="U25" s="18"/>
      <c r="V25" s="18"/>
      <c r="W25" s="18"/>
      <c r="X25" s="18"/>
      <c r="Y25" s="18"/>
      <c r="Z25" s="18"/>
      <c r="AA25" s="18"/>
      <c r="AB25" s="18"/>
      <c r="AC25" s="18"/>
    </row>
    <row r="26" hidden="1">
      <c r="A26" s="5" t="s">
        <v>125</v>
      </c>
      <c r="B26" s="5">
        <v>2018.0</v>
      </c>
      <c r="C26" s="5" t="s">
        <v>471</v>
      </c>
      <c r="D26" s="5" t="s">
        <v>545</v>
      </c>
      <c r="E26" s="5" t="s">
        <v>473</v>
      </c>
      <c r="F26" s="5" t="s">
        <v>474</v>
      </c>
      <c r="G26" s="5" t="s">
        <v>475</v>
      </c>
      <c r="H26" s="18"/>
      <c r="I26" s="18"/>
      <c r="J26" s="18"/>
      <c r="K26" s="19" t="s">
        <v>546</v>
      </c>
      <c r="L26" s="19" t="s">
        <v>547</v>
      </c>
      <c r="M26" s="18"/>
      <c r="N26" s="18"/>
      <c r="O26" s="18"/>
      <c r="P26" s="18"/>
      <c r="Q26" s="18"/>
      <c r="R26" s="18"/>
      <c r="S26" s="18"/>
      <c r="T26" s="18"/>
      <c r="U26" s="18"/>
      <c r="V26" s="18"/>
      <c r="W26" s="18"/>
      <c r="X26" s="18"/>
      <c r="Y26" s="18"/>
      <c r="Z26" s="18"/>
      <c r="AA26" s="18"/>
      <c r="AB26" s="18"/>
      <c r="AC26" s="18"/>
    </row>
    <row r="27" hidden="1">
      <c r="A27" s="5" t="s">
        <v>125</v>
      </c>
      <c r="B27" s="5">
        <v>2018.0</v>
      </c>
      <c r="C27" s="5" t="s">
        <v>471</v>
      </c>
      <c r="D27" s="5" t="s">
        <v>548</v>
      </c>
      <c r="E27" s="5" t="s">
        <v>473</v>
      </c>
      <c r="F27" s="5" t="s">
        <v>481</v>
      </c>
      <c r="G27" s="5" t="s">
        <v>475</v>
      </c>
      <c r="H27" s="18"/>
      <c r="I27" s="18"/>
      <c r="J27" s="18"/>
      <c r="K27" s="19" t="s">
        <v>549</v>
      </c>
      <c r="L27" s="19" t="s">
        <v>550</v>
      </c>
      <c r="M27" s="18"/>
      <c r="N27" s="18"/>
      <c r="O27" s="18"/>
      <c r="P27" s="18"/>
      <c r="Q27" s="18"/>
      <c r="R27" s="18"/>
      <c r="S27" s="18"/>
      <c r="T27" s="18"/>
      <c r="U27" s="18"/>
      <c r="V27" s="18"/>
      <c r="W27" s="18"/>
      <c r="X27" s="18"/>
      <c r="Y27" s="18"/>
      <c r="Z27" s="18"/>
      <c r="AA27" s="18"/>
      <c r="AB27" s="18"/>
      <c r="AC27" s="18"/>
    </row>
    <row r="28" hidden="1">
      <c r="A28" s="5" t="s">
        <v>125</v>
      </c>
      <c r="B28" s="5">
        <v>2018.0</v>
      </c>
      <c r="C28" s="5" t="s">
        <v>471</v>
      </c>
      <c r="D28" s="5" t="s">
        <v>551</v>
      </c>
      <c r="E28" s="5" t="s">
        <v>473</v>
      </c>
      <c r="F28" s="5" t="s">
        <v>474</v>
      </c>
      <c r="G28" s="5" t="s">
        <v>475</v>
      </c>
      <c r="H28" s="18"/>
      <c r="I28" s="18"/>
      <c r="J28" s="18"/>
      <c r="K28" s="19" t="s">
        <v>552</v>
      </c>
      <c r="L28" s="19" t="s">
        <v>553</v>
      </c>
      <c r="M28" s="18"/>
      <c r="N28" s="18"/>
      <c r="O28" s="18"/>
      <c r="P28" s="18"/>
      <c r="Q28" s="18"/>
      <c r="R28" s="18"/>
      <c r="S28" s="18"/>
      <c r="T28" s="18"/>
      <c r="U28" s="18"/>
      <c r="V28" s="18"/>
      <c r="W28" s="18"/>
      <c r="X28" s="18"/>
      <c r="Y28" s="18"/>
      <c r="Z28" s="18"/>
      <c r="AA28" s="18"/>
      <c r="AB28" s="18"/>
      <c r="AC28" s="18"/>
    </row>
    <row r="29" hidden="1">
      <c r="A29" s="5" t="s">
        <v>125</v>
      </c>
      <c r="B29" s="5">
        <v>2018.0</v>
      </c>
      <c r="C29" s="5" t="s">
        <v>471</v>
      </c>
      <c r="D29" s="5" t="s">
        <v>554</v>
      </c>
      <c r="E29" s="5" t="s">
        <v>473</v>
      </c>
      <c r="F29" s="5" t="s">
        <v>481</v>
      </c>
      <c r="G29" s="5" t="s">
        <v>475</v>
      </c>
      <c r="H29" s="18"/>
      <c r="I29" s="18"/>
      <c r="J29" s="18"/>
      <c r="K29" s="19" t="s">
        <v>555</v>
      </c>
      <c r="L29" s="19" t="s">
        <v>556</v>
      </c>
      <c r="M29" s="18"/>
      <c r="N29" s="18"/>
      <c r="O29" s="18"/>
      <c r="P29" s="18"/>
      <c r="Q29" s="18"/>
      <c r="R29" s="18"/>
      <c r="S29" s="18"/>
      <c r="T29" s="18"/>
      <c r="U29" s="18"/>
      <c r="V29" s="18"/>
      <c r="W29" s="18"/>
      <c r="X29" s="18"/>
      <c r="Y29" s="18"/>
      <c r="Z29" s="18"/>
      <c r="AA29" s="18"/>
      <c r="AB29" s="18"/>
      <c r="AC29" s="18"/>
    </row>
    <row r="30" hidden="1">
      <c r="A30" s="5" t="s">
        <v>125</v>
      </c>
      <c r="B30" s="5">
        <v>2018.0</v>
      </c>
      <c r="C30" s="5" t="s">
        <v>471</v>
      </c>
      <c r="D30" s="5" t="s">
        <v>557</v>
      </c>
      <c r="E30" s="5" t="s">
        <v>473</v>
      </c>
      <c r="F30" s="5" t="s">
        <v>474</v>
      </c>
      <c r="G30" s="5" t="s">
        <v>475</v>
      </c>
      <c r="H30" s="18"/>
      <c r="I30" s="18"/>
      <c r="J30" s="18"/>
      <c r="K30" s="19" t="s">
        <v>558</v>
      </c>
      <c r="L30" s="19" t="s">
        <v>559</v>
      </c>
      <c r="M30" s="18"/>
      <c r="N30" s="18"/>
      <c r="O30" s="18"/>
      <c r="P30" s="18"/>
      <c r="Q30" s="18"/>
      <c r="R30" s="18"/>
      <c r="S30" s="18"/>
      <c r="T30" s="18"/>
      <c r="U30" s="18"/>
      <c r="V30" s="18"/>
      <c r="W30" s="18"/>
      <c r="X30" s="18"/>
      <c r="Y30" s="18"/>
      <c r="Z30" s="18"/>
      <c r="AA30" s="18"/>
      <c r="AB30" s="18"/>
      <c r="AC30" s="18"/>
    </row>
    <row r="31" hidden="1">
      <c r="A31" s="5" t="s">
        <v>125</v>
      </c>
      <c r="B31" s="5">
        <v>2018.0</v>
      </c>
      <c r="C31" s="5" t="s">
        <v>471</v>
      </c>
      <c r="D31" s="5" t="s">
        <v>560</v>
      </c>
      <c r="E31" s="5" t="s">
        <v>514</v>
      </c>
      <c r="F31" s="5" t="s">
        <v>474</v>
      </c>
      <c r="G31" s="5" t="s">
        <v>475</v>
      </c>
      <c r="H31" s="18"/>
      <c r="I31" s="18"/>
      <c r="J31" s="18"/>
      <c r="K31" s="19" t="s">
        <v>540</v>
      </c>
      <c r="L31" s="19" t="s">
        <v>561</v>
      </c>
      <c r="M31" s="19" t="s">
        <v>562</v>
      </c>
      <c r="N31" s="18"/>
      <c r="O31" s="18"/>
      <c r="P31" s="18"/>
      <c r="Q31" s="18"/>
      <c r="R31" s="18"/>
      <c r="S31" s="18"/>
      <c r="T31" s="18"/>
      <c r="U31" s="18"/>
      <c r="V31" s="18"/>
      <c r="W31" s="18"/>
      <c r="X31" s="18"/>
      <c r="Y31" s="18"/>
      <c r="Z31" s="18"/>
      <c r="AA31" s="18"/>
      <c r="AB31" s="18"/>
      <c r="AC31" s="18"/>
    </row>
    <row r="32" hidden="1">
      <c r="A32" s="5" t="s">
        <v>125</v>
      </c>
      <c r="B32" s="5">
        <v>2018.0</v>
      </c>
      <c r="C32" s="5" t="s">
        <v>471</v>
      </c>
      <c r="D32" s="5" t="s">
        <v>563</v>
      </c>
      <c r="E32" s="5" t="s">
        <v>514</v>
      </c>
      <c r="F32" s="5" t="s">
        <v>474</v>
      </c>
      <c r="G32" s="5" t="s">
        <v>475</v>
      </c>
      <c r="H32" s="18"/>
      <c r="I32" s="18"/>
      <c r="J32" s="18"/>
      <c r="K32" s="19" t="s">
        <v>493</v>
      </c>
      <c r="L32" s="19" t="s">
        <v>564</v>
      </c>
      <c r="M32" s="19" t="s">
        <v>562</v>
      </c>
      <c r="N32" s="18"/>
      <c r="O32" s="18"/>
      <c r="P32" s="18"/>
      <c r="Q32" s="18"/>
      <c r="R32" s="18"/>
      <c r="S32" s="18"/>
      <c r="T32" s="18"/>
      <c r="U32" s="18"/>
      <c r="V32" s="18"/>
      <c r="W32" s="18"/>
      <c r="X32" s="18"/>
      <c r="Y32" s="18"/>
      <c r="Z32" s="18"/>
      <c r="AA32" s="18"/>
      <c r="AB32" s="18"/>
      <c r="AC32" s="18"/>
    </row>
    <row r="33" hidden="1">
      <c r="A33" s="5" t="s">
        <v>125</v>
      </c>
      <c r="B33" s="5">
        <v>2018.0</v>
      </c>
      <c r="C33" s="5" t="s">
        <v>471</v>
      </c>
      <c r="D33" s="5" t="s">
        <v>565</v>
      </c>
      <c r="E33" s="5" t="s">
        <v>473</v>
      </c>
      <c r="F33" s="5" t="s">
        <v>474</v>
      </c>
      <c r="G33" s="5" t="s">
        <v>492</v>
      </c>
      <c r="H33" s="18"/>
      <c r="I33" s="18"/>
      <c r="J33" s="18"/>
      <c r="K33" s="19" t="s">
        <v>566</v>
      </c>
      <c r="L33" s="19" t="s">
        <v>567</v>
      </c>
      <c r="M33" s="19" t="s">
        <v>562</v>
      </c>
      <c r="N33" s="18"/>
      <c r="O33" s="18"/>
      <c r="P33" s="18"/>
      <c r="Q33" s="18"/>
      <c r="R33" s="18"/>
      <c r="S33" s="18"/>
      <c r="T33" s="18"/>
      <c r="U33" s="18"/>
      <c r="V33" s="18"/>
      <c r="W33" s="18"/>
      <c r="X33" s="18"/>
      <c r="Y33" s="18"/>
      <c r="Z33" s="18"/>
      <c r="AA33" s="18"/>
      <c r="AB33" s="18"/>
      <c r="AC33" s="18"/>
    </row>
    <row r="34" hidden="1">
      <c r="A34" s="5" t="s">
        <v>125</v>
      </c>
      <c r="B34" s="5">
        <v>2018.0</v>
      </c>
      <c r="C34" s="5" t="s">
        <v>471</v>
      </c>
      <c r="D34" s="5" t="s">
        <v>568</v>
      </c>
      <c r="E34" s="5" t="s">
        <v>473</v>
      </c>
      <c r="F34" s="5" t="s">
        <v>474</v>
      </c>
      <c r="G34" s="5" t="s">
        <v>475</v>
      </c>
      <c r="H34" s="18"/>
      <c r="I34" s="18"/>
      <c r="J34" s="18"/>
      <c r="K34" s="19" t="s">
        <v>569</v>
      </c>
      <c r="L34" s="19" t="s">
        <v>570</v>
      </c>
      <c r="M34" s="19" t="s">
        <v>562</v>
      </c>
      <c r="N34" s="18"/>
      <c r="O34" s="18"/>
      <c r="P34" s="18"/>
      <c r="Q34" s="18"/>
      <c r="R34" s="18"/>
      <c r="S34" s="18"/>
      <c r="T34" s="18"/>
      <c r="U34" s="18"/>
      <c r="V34" s="18"/>
      <c r="W34" s="18"/>
      <c r="X34" s="18"/>
      <c r="Y34" s="18"/>
      <c r="Z34" s="18"/>
      <c r="AA34" s="18"/>
      <c r="AB34" s="18"/>
      <c r="AC34" s="18"/>
    </row>
    <row r="35" hidden="1">
      <c r="A35" s="5" t="s">
        <v>125</v>
      </c>
      <c r="B35" s="5">
        <v>2018.0</v>
      </c>
      <c r="C35" s="5" t="s">
        <v>471</v>
      </c>
      <c r="D35" s="5" t="s">
        <v>571</v>
      </c>
      <c r="E35" s="5" t="s">
        <v>514</v>
      </c>
      <c r="F35" s="5" t="s">
        <v>481</v>
      </c>
      <c r="G35" s="5" t="s">
        <v>475</v>
      </c>
      <c r="H35" s="18"/>
      <c r="I35" s="18"/>
      <c r="J35" s="18"/>
      <c r="K35" s="19" t="s">
        <v>572</v>
      </c>
      <c r="L35" s="19" t="s">
        <v>573</v>
      </c>
      <c r="M35" s="19" t="s">
        <v>562</v>
      </c>
      <c r="N35" s="18"/>
      <c r="O35" s="18"/>
      <c r="P35" s="18"/>
      <c r="Q35" s="18"/>
      <c r="R35" s="18"/>
      <c r="S35" s="18"/>
      <c r="T35" s="18"/>
      <c r="U35" s="18"/>
      <c r="V35" s="18"/>
      <c r="W35" s="18"/>
      <c r="X35" s="18"/>
      <c r="Y35" s="18"/>
      <c r="Z35" s="18"/>
      <c r="AA35" s="18"/>
      <c r="AB35" s="18"/>
      <c r="AC35" s="18"/>
    </row>
    <row r="36" hidden="1">
      <c r="A36" s="5" t="s">
        <v>125</v>
      </c>
      <c r="B36" s="5">
        <v>2018.0</v>
      </c>
      <c r="C36" s="5" t="s">
        <v>471</v>
      </c>
      <c r="D36" s="5" t="s">
        <v>574</v>
      </c>
      <c r="E36" s="5" t="s">
        <v>514</v>
      </c>
      <c r="F36" s="5" t="s">
        <v>474</v>
      </c>
      <c r="G36" s="5" t="s">
        <v>475</v>
      </c>
      <c r="H36" s="18"/>
      <c r="I36" s="18"/>
      <c r="J36" s="18"/>
      <c r="K36" s="19" t="s">
        <v>575</v>
      </c>
      <c r="L36" s="19" t="s">
        <v>576</v>
      </c>
      <c r="M36" s="19" t="s">
        <v>562</v>
      </c>
      <c r="N36" s="18"/>
      <c r="O36" s="18"/>
      <c r="P36" s="18"/>
      <c r="Q36" s="18"/>
      <c r="R36" s="18"/>
      <c r="S36" s="18"/>
      <c r="T36" s="18"/>
      <c r="U36" s="18"/>
      <c r="V36" s="18"/>
      <c r="W36" s="18"/>
      <c r="X36" s="18"/>
      <c r="Y36" s="18"/>
      <c r="Z36" s="18"/>
      <c r="AA36" s="18"/>
      <c r="AB36" s="18"/>
      <c r="AC36" s="18"/>
    </row>
    <row r="37" hidden="1">
      <c r="A37" s="5" t="s">
        <v>125</v>
      </c>
      <c r="B37" s="5">
        <v>2018.0</v>
      </c>
      <c r="C37" s="5" t="s">
        <v>471</v>
      </c>
      <c r="D37" s="5" t="s">
        <v>577</v>
      </c>
      <c r="E37" s="5" t="s">
        <v>514</v>
      </c>
      <c r="F37" s="5" t="s">
        <v>474</v>
      </c>
      <c r="G37" s="5" t="s">
        <v>475</v>
      </c>
      <c r="H37" s="18"/>
      <c r="I37" s="18"/>
      <c r="J37" s="18"/>
      <c r="K37" s="19" t="s">
        <v>578</v>
      </c>
      <c r="L37" s="19" t="s">
        <v>579</v>
      </c>
      <c r="M37" s="19" t="s">
        <v>562</v>
      </c>
      <c r="N37" s="18"/>
      <c r="O37" s="18"/>
      <c r="P37" s="18"/>
      <c r="Q37" s="18"/>
      <c r="R37" s="18"/>
      <c r="S37" s="18"/>
      <c r="T37" s="18"/>
      <c r="U37" s="18"/>
      <c r="V37" s="18"/>
      <c r="W37" s="18"/>
      <c r="X37" s="18"/>
      <c r="Y37" s="18"/>
      <c r="Z37" s="18"/>
      <c r="AA37" s="18"/>
      <c r="AB37" s="18"/>
      <c r="AC37" s="18"/>
    </row>
    <row r="38" hidden="1">
      <c r="A38" s="5" t="s">
        <v>125</v>
      </c>
      <c r="B38" s="5">
        <v>2018.0</v>
      </c>
      <c r="C38" s="5" t="s">
        <v>471</v>
      </c>
      <c r="D38" s="5" t="s">
        <v>580</v>
      </c>
      <c r="E38" s="5" t="s">
        <v>473</v>
      </c>
      <c r="F38" s="5" t="s">
        <v>481</v>
      </c>
      <c r="G38" s="5" t="s">
        <v>475</v>
      </c>
      <c r="H38" s="18"/>
      <c r="I38" s="18"/>
      <c r="J38" s="18"/>
      <c r="K38" s="19" t="s">
        <v>566</v>
      </c>
      <c r="L38" s="19" t="s">
        <v>581</v>
      </c>
      <c r="M38" s="19" t="s">
        <v>562</v>
      </c>
      <c r="N38" s="18"/>
      <c r="O38" s="18"/>
      <c r="P38" s="18"/>
      <c r="Q38" s="18"/>
      <c r="R38" s="18"/>
      <c r="S38" s="18"/>
      <c r="T38" s="18"/>
      <c r="U38" s="18"/>
      <c r="V38" s="18"/>
      <c r="W38" s="18"/>
      <c r="X38" s="18"/>
      <c r="Y38" s="18"/>
      <c r="Z38" s="18"/>
      <c r="AA38" s="18"/>
      <c r="AB38" s="18"/>
      <c r="AC38" s="18"/>
    </row>
    <row r="39" hidden="1">
      <c r="A39" s="5" t="s">
        <v>125</v>
      </c>
      <c r="B39" s="5">
        <v>2018.0</v>
      </c>
      <c r="C39" s="5" t="s">
        <v>471</v>
      </c>
      <c r="D39" s="5" t="s">
        <v>582</v>
      </c>
      <c r="E39" s="5" t="s">
        <v>514</v>
      </c>
      <c r="F39" s="5" t="s">
        <v>481</v>
      </c>
      <c r="G39" s="5" t="s">
        <v>475</v>
      </c>
      <c r="H39" s="18"/>
      <c r="I39" s="18"/>
      <c r="J39" s="18"/>
      <c r="K39" s="19" t="s">
        <v>583</v>
      </c>
      <c r="L39" s="19" t="s">
        <v>584</v>
      </c>
      <c r="M39" s="19" t="s">
        <v>562</v>
      </c>
      <c r="N39" s="18"/>
      <c r="O39" s="18"/>
      <c r="P39" s="18"/>
      <c r="Q39" s="18"/>
      <c r="R39" s="18"/>
      <c r="S39" s="18"/>
      <c r="T39" s="18"/>
      <c r="U39" s="18"/>
      <c r="V39" s="18"/>
      <c r="W39" s="18"/>
      <c r="X39" s="18"/>
      <c r="Y39" s="18"/>
      <c r="Z39" s="18"/>
      <c r="AA39" s="18"/>
      <c r="AB39" s="18"/>
      <c r="AC39" s="18"/>
    </row>
    <row r="40" hidden="1">
      <c r="A40" s="5" t="s">
        <v>125</v>
      </c>
      <c r="B40" s="5">
        <v>2018.0</v>
      </c>
      <c r="C40" s="5" t="s">
        <v>471</v>
      </c>
      <c r="D40" s="5" t="s">
        <v>585</v>
      </c>
      <c r="E40" s="5" t="s">
        <v>473</v>
      </c>
      <c r="F40" s="5" t="s">
        <v>481</v>
      </c>
      <c r="G40" s="5" t="s">
        <v>475</v>
      </c>
      <c r="H40" s="18"/>
      <c r="I40" s="18"/>
      <c r="J40" s="18"/>
      <c r="K40" s="19" t="s">
        <v>586</v>
      </c>
      <c r="L40" s="19" t="s">
        <v>587</v>
      </c>
      <c r="M40" s="19" t="s">
        <v>562</v>
      </c>
      <c r="N40" s="18"/>
      <c r="O40" s="18"/>
      <c r="P40" s="18"/>
      <c r="Q40" s="18"/>
      <c r="R40" s="18"/>
      <c r="S40" s="18"/>
      <c r="T40" s="18"/>
      <c r="U40" s="18"/>
      <c r="V40" s="18"/>
      <c r="W40" s="18"/>
      <c r="X40" s="18"/>
      <c r="Y40" s="18"/>
      <c r="Z40" s="18"/>
      <c r="AA40" s="18"/>
      <c r="AB40" s="18"/>
      <c r="AC40" s="18"/>
    </row>
    <row r="41" hidden="1">
      <c r="A41" s="5" t="s">
        <v>125</v>
      </c>
      <c r="B41" s="5">
        <v>2018.0</v>
      </c>
      <c r="C41" s="5" t="s">
        <v>471</v>
      </c>
      <c r="D41" s="5" t="s">
        <v>588</v>
      </c>
      <c r="E41" s="5" t="s">
        <v>514</v>
      </c>
      <c r="F41" s="5" t="s">
        <v>481</v>
      </c>
      <c r="G41" s="5" t="s">
        <v>475</v>
      </c>
      <c r="H41" s="18"/>
      <c r="I41" s="18"/>
      <c r="J41" s="18"/>
      <c r="K41" s="19" t="s">
        <v>589</v>
      </c>
      <c r="L41" s="19" t="s">
        <v>590</v>
      </c>
      <c r="M41" s="19" t="s">
        <v>562</v>
      </c>
      <c r="N41" s="18"/>
      <c r="O41" s="18"/>
      <c r="P41" s="18"/>
      <c r="Q41" s="18"/>
      <c r="R41" s="18"/>
      <c r="S41" s="18"/>
      <c r="T41" s="18"/>
      <c r="U41" s="18"/>
      <c r="V41" s="18"/>
      <c r="W41" s="18"/>
      <c r="X41" s="18"/>
      <c r="Y41" s="18"/>
      <c r="Z41" s="18"/>
      <c r="AA41" s="18"/>
      <c r="AB41" s="18"/>
      <c r="AC41" s="18"/>
    </row>
    <row r="42" hidden="1">
      <c r="A42" s="5" t="s">
        <v>125</v>
      </c>
      <c r="B42" s="5">
        <v>2018.0</v>
      </c>
      <c r="C42" s="5" t="s">
        <v>471</v>
      </c>
      <c r="D42" s="5" t="s">
        <v>591</v>
      </c>
      <c r="E42" s="5" t="s">
        <v>473</v>
      </c>
      <c r="F42" s="5" t="s">
        <v>481</v>
      </c>
      <c r="G42" s="5" t="s">
        <v>475</v>
      </c>
      <c r="H42" s="18"/>
      <c r="I42" s="18"/>
      <c r="J42" s="18"/>
      <c r="K42" s="19" t="s">
        <v>592</v>
      </c>
      <c r="L42" s="19" t="s">
        <v>593</v>
      </c>
      <c r="M42" s="19" t="s">
        <v>562</v>
      </c>
      <c r="N42" s="18"/>
      <c r="O42" s="18"/>
      <c r="P42" s="18"/>
      <c r="Q42" s="18"/>
      <c r="R42" s="18"/>
      <c r="S42" s="18"/>
      <c r="T42" s="18"/>
      <c r="U42" s="18"/>
      <c r="V42" s="18"/>
      <c r="W42" s="18"/>
      <c r="X42" s="18"/>
      <c r="Y42" s="18"/>
      <c r="Z42" s="18"/>
      <c r="AA42" s="18"/>
      <c r="AB42" s="18"/>
      <c r="AC42" s="18"/>
    </row>
    <row r="43" hidden="1">
      <c r="A43" s="5" t="s">
        <v>125</v>
      </c>
      <c r="B43" s="5">
        <v>2018.0</v>
      </c>
      <c r="C43" s="5" t="s">
        <v>471</v>
      </c>
      <c r="D43" s="5" t="s">
        <v>594</v>
      </c>
      <c r="E43" s="5" t="s">
        <v>473</v>
      </c>
      <c r="F43" s="5" t="s">
        <v>481</v>
      </c>
      <c r="G43" s="5" t="s">
        <v>475</v>
      </c>
      <c r="H43" s="18"/>
      <c r="I43" s="18"/>
      <c r="J43" s="18"/>
      <c r="K43" s="19" t="s">
        <v>595</v>
      </c>
      <c r="L43" s="19" t="s">
        <v>596</v>
      </c>
      <c r="M43" s="19" t="s">
        <v>562</v>
      </c>
      <c r="N43" s="18"/>
      <c r="O43" s="18"/>
      <c r="P43" s="18"/>
      <c r="Q43" s="18"/>
      <c r="R43" s="18"/>
      <c r="S43" s="18"/>
      <c r="T43" s="18"/>
      <c r="U43" s="18"/>
      <c r="V43" s="18"/>
      <c r="W43" s="18"/>
      <c r="X43" s="18"/>
      <c r="Y43" s="18"/>
      <c r="Z43" s="18"/>
      <c r="AA43" s="18"/>
      <c r="AB43" s="18"/>
      <c r="AC43" s="18"/>
    </row>
    <row r="44" hidden="1">
      <c r="A44" s="5" t="s">
        <v>125</v>
      </c>
      <c r="B44" s="5">
        <v>2018.0</v>
      </c>
      <c r="C44" s="5" t="s">
        <v>471</v>
      </c>
      <c r="D44" s="5" t="s">
        <v>597</v>
      </c>
      <c r="E44" s="5" t="s">
        <v>473</v>
      </c>
      <c r="F44" s="5" t="s">
        <v>481</v>
      </c>
      <c r="G44" s="5" t="s">
        <v>492</v>
      </c>
      <c r="H44" s="18"/>
      <c r="I44" s="18"/>
      <c r="J44" s="18"/>
      <c r="K44" s="19" t="s">
        <v>598</v>
      </c>
      <c r="L44" s="19" t="s">
        <v>599</v>
      </c>
      <c r="M44" s="19" t="s">
        <v>562</v>
      </c>
      <c r="N44" s="18"/>
      <c r="O44" s="18"/>
      <c r="P44" s="18"/>
      <c r="Q44" s="18"/>
      <c r="R44" s="18"/>
      <c r="S44" s="18"/>
      <c r="T44" s="18"/>
      <c r="U44" s="18"/>
      <c r="V44" s="18"/>
      <c r="W44" s="18"/>
      <c r="X44" s="18"/>
      <c r="Y44" s="18"/>
      <c r="Z44" s="18"/>
      <c r="AA44" s="18"/>
      <c r="AB44" s="18"/>
      <c r="AC44" s="18"/>
    </row>
    <row r="45" hidden="1">
      <c r="A45" s="5" t="s">
        <v>125</v>
      </c>
      <c r="B45" s="5">
        <v>2018.0</v>
      </c>
      <c r="C45" s="5" t="s">
        <v>471</v>
      </c>
      <c r="D45" s="5" t="s">
        <v>600</v>
      </c>
      <c r="E45" s="5" t="s">
        <v>514</v>
      </c>
      <c r="F45" s="5" t="s">
        <v>481</v>
      </c>
      <c r="G45" s="5" t="s">
        <v>475</v>
      </c>
      <c r="H45" s="18"/>
      <c r="I45" s="18"/>
      <c r="J45" s="18"/>
      <c r="K45" s="19" t="s">
        <v>601</v>
      </c>
      <c r="L45" s="19" t="s">
        <v>602</v>
      </c>
      <c r="M45" s="19" t="s">
        <v>562</v>
      </c>
      <c r="N45" s="18"/>
      <c r="O45" s="18"/>
      <c r="P45" s="18"/>
      <c r="Q45" s="18"/>
      <c r="R45" s="18"/>
      <c r="S45" s="18"/>
      <c r="T45" s="18"/>
      <c r="U45" s="18"/>
      <c r="V45" s="18"/>
      <c r="W45" s="18"/>
      <c r="X45" s="18"/>
      <c r="Y45" s="18"/>
      <c r="Z45" s="18"/>
      <c r="AA45" s="18"/>
      <c r="AB45" s="18"/>
      <c r="AC45" s="18"/>
    </row>
    <row r="46" hidden="1">
      <c r="A46" s="5" t="s">
        <v>125</v>
      </c>
      <c r="B46" s="5">
        <v>2018.0</v>
      </c>
      <c r="C46" s="5" t="s">
        <v>471</v>
      </c>
      <c r="D46" s="5" t="s">
        <v>603</v>
      </c>
      <c r="E46" s="5" t="s">
        <v>473</v>
      </c>
      <c r="F46" s="5" t="s">
        <v>481</v>
      </c>
      <c r="G46" s="5" t="s">
        <v>475</v>
      </c>
      <c r="H46" s="18"/>
      <c r="I46" s="18"/>
      <c r="J46" s="18"/>
      <c r="K46" s="19" t="s">
        <v>604</v>
      </c>
      <c r="L46" s="19" t="s">
        <v>605</v>
      </c>
      <c r="M46" s="19" t="s">
        <v>562</v>
      </c>
      <c r="N46" s="18"/>
      <c r="O46" s="18"/>
      <c r="P46" s="18"/>
      <c r="Q46" s="18"/>
      <c r="R46" s="18"/>
      <c r="S46" s="18"/>
      <c r="T46" s="18"/>
      <c r="U46" s="18"/>
      <c r="V46" s="18"/>
      <c r="W46" s="18"/>
      <c r="X46" s="18"/>
      <c r="Y46" s="18"/>
      <c r="Z46" s="18"/>
      <c r="AA46" s="18"/>
      <c r="AB46" s="18"/>
      <c r="AC46" s="18"/>
    </row>
    <row r="47" hidden="1">
      <c r="A47" s="5" t="s">
        <v>125</v>
      </c>
      <c r="B47" s="5">
        <v>2018.0</v>
      </c>
      <c r="C47" s="5" t="s">
        <v>471</v>
      </c>
      <c r="D47" s="5" t="s">
        <v>606</v>
      </c>
      <c r="E47" s="5" t="s">
        <v>473</v>
      </c>
      <c r="F47" s="5" t="s">
        <v>481</v>
      </c>
      <c r="G47" s="5" t="s">
        <v>488</v>
      </c>
      <c r="H47" s="18"/>
      <c r="I47" s="18"/>
      <c r="J47" s="18"/>
      <c r="K47" s="19" t="s">
        <v>607</v>
      </c>
      <c r="L47" s="19" t="s">
        <v>608</v>
      </c>
      <c r="M47" s="19" t="s">
        <v>562</v>
      </c>
      <c r="N47" s="18"/>
      <c r="O47" s="18"/>
      <c r="P47" s="18"/>
      <c r="Q47" s="18"/>
      <c r="R47" s="18"/>
      <c r="S47" s="18"/>
      <c r="T47" s="18"/>
      <c r="U47" s="18"/>
      <c r="V47" s="18"/>
      <c r="W47" s="18"/>
      <c r="X47" s="18"/>
      <c r="Y47" s="18"/>
      <c r="Z47" s="18"/>
      <c r="AA47" s="18"/>
      <c r="AB47" s="18"/>
      <c r="AC47" s="18"/>
    </row>
    <row r="48" hidden="1">
      <c r="A48" s="5" t="s">
        <v>125</v>
      </c>
      <c r="B48" s="5">
        <v>2018.0</v>
      </c>
      <c r="C48" s="5" t="s">
        <v>471</v>
      </c>
      <c r="D48" s="5" t="s">
        <v>609</v>
      </c>
      <c r="E48" s="5" t="s">
        <v>473</v>
      </c>
      <c r="F48" s="5" t="s">
        <v>481</v>
      </c>
      <c r="G48" s="5" t="s">
        <v>475</v>
      </c>
      <c r="H48" s="18"/>
      <c r="I48" s="18"/>
      <c r="J48" s="18"/>
      <c r="K48" s="19" t="s">
        <v>610</v>
      </c>
      <c r="L48" s="19" t="s">
        <v>611</v>
      </c>
      <c r="M48" s="19" t="s">
        <v>562</v>
      </c>
      <c r="N48" s="18"/>
      <c r="O48" s="18"/>
      <c r="P48" s="18"/>
      <c r="Q48" s="18"/>
      <c r="R48" s="18"/>
      <c r="S48" s="18"/>
      <c r="T48" s="18"/>
      <c r="U48" s="18"/>
      <c r="V48" s="18"/>
      <c r="W48" s="18"/>
      <c r="X48" s="18"/>
      <c r="Y48" s="18"/>
      <c r="Z48" s="18"/>
      <c r="AA48" s="18"/>
      <c r="AB48" s="18"/>
      <c r="AC48" s="18"/>
    </row>
    <row r="49" hidden="1">
      <c r="A49" s="5" t="s">
        <v>125</v>
      </c>
      <c r="B49" s="5">
        <v>2018.0</v>
      </c>
      <c r="C49" s="5" t="s">
        <v>471</v>
      </c>
      <c r="D49" s="5" t="s">
        <v>612</v>
      </c>
      <c r="E49" s="5" t="s">
        <v>473</v>
      </c>
      <c r="F49" s="5" t="s">
        <v>481</v>
      </c>
      <c r="G49" s="5" t="s">
        <v>475</v>
      </c>
      <c r="H49" s="18"/>
      <c r="I49" s="18"/>
      <c r="J49" s="18"/>
      <c r="K49" s="19" t="s">
        <v>566</v>
      </c>
      <c r="L49" s="19" t="s">
        <v>613</v>
      </c>
      <c r="M49" s="19" t="s">
        <v>562</v>
      </c>
      <c r="N49" s="18"/>
      <c r="O49" s="18"/>
      <c r="P49" s="18"/>
      <c r="Q49" s="18"/>
      <c r="R49" s="18"/>
      <c r="S49" s="18"/>
      <c r="T49" s="18"/>
      <c r="U49" s="18"/>
      <c r="V49" s="18"/>
      <c r="W49" s="18"/>
      <c r="X49" s="18"/>
      <c r="Y49" s="18"/>
      <c r="Z49" s="18"/>
      <c r="AA49" s="18"/>
      <c r="AB49" s="18"/>
      <c r="AC49" s="18"/>
    </row>
    <row r="50" hidden="1">
      <c r="A50" s="5" t="s">
        <v>125</v>
      </c>
      <c r="B50" s="5">
        <v>2018.0</v>
      </c>
      <c r="C50" s="5" t="s">
        <v>471</v>
      </c>
      <c r="D50" s="5" t="s">
        <v>614</v>
      </c>
      <c r="E50" s="5" t="s">
        <v>473</v>
      </c>
      <c r="F50" s="5" t="s">
        <v>474</v>
      </c>
      <c r="G50" s="5" t="s">
        <v>475</v>
      </c>
      <c r="H50" s="18"/>
      <c r="I50" s="18"/>
      <c r="J50" s="18"/>
      <c r="K50" s="19" t="s">
        <v>543</v>
      </c>
      <c r="L50" s="19" t="s">
        <v>615</v>
      </c>
      <c r="M50" s="19" t="s">
        <v>562</v>
      </c>
      <c r="N50" s="18"/>
      <c r="O50" s="18"/>
      <c r="P50" s="18"/>
      <c r="Q50" s="18"/>
      <c r="R50" s="18"/>
      <c r="S50" s="18"/>
      <c r="T50" s="18"/>
      <c r="U50" s="18"/>
      <c r="V50" s="18"/>
      <c r="W50" s="18"/>
      <c r="X50" s="18"/>
      <c r="Y50" s="18"/>
      <c r="Z50" s="18"/>
      <c r="AA50" s="18"/>
      <c r="AB50" s="18"/>
      <c r="AC50" s="18"/>
    </row>
    <row r="51" hidden="1">
      <c r="A51" s="5" t="s">
        <v>125</v>
      </c>
      <c r="B51" s="5">
        <v>2018.0</v>
      </c>
      <c r="C51" s="5" t="s">
        <v>471</v>
      </c>
      <c r="D51" s="5" t="s">
        <v>616</v>
      </c>
      <c r="E51" s="5" t="s">
        <v>473</v>
      </c>
      <c r="F51" s="5" t="s">
        <v>481</v>
      </c>
      <c r="G51" s="5" t="s">
        <v>475</v>
      </c>
      <c r="H51" s="18"/>
      <c r="I51" s="18"/>
      <c r="J51" s="18"/>
      <c r="K51" s="19" t="s">
        <v>617</v>
      </c>
      <c r="L51" s="19" t="s">
        <v>618</v>
      </c>
      <c r="M51" s="19" t="s">
        <v>562</v>
      </c>
      <c r="N51" s="18"/>
      <c r="O51" s="18"/>
      <c r="P51" s="18"/>
      <c r="Q51" s="18"/>
      <c r="R51" s="18"/>
      <c r="S51" s="18"/>
      <c r="T51" s="18"/>
      <c r="U51" s="18"/>
      <c r="V51" s="18"/>
      <c r="W51" s="18"/>
      <c r="X51" s="18"/>
      <c r="Y51" s="18"/>
      <c r="Z51" s="18"/>
      <c r="AA51" s="18"/>
      <c r="AB51" s="18"/>
      <c r="AC51" s="18"/>
    </row>
    <row r="52" hidden="1">
      <c r="A52" s="5" t="s">
        <v>125</v>
      </c>
      <c r="B52" s="5">
        <v>2018.0</v>
      </c>
      <c r="C52" s="5" t="s">
        <v>471</v>
      </c>
      <c r="D52" s="5" t="s">
        <v>619</v>
      </c>
      <c r="E52" s="5" t="s">
        <v>473</v>
      </c>
      <c r="F52" s="5" t="s">
        <v>481</v>
      </c>
      <c r="G52" s="5" t="s">
        <v>492</v>
      </c>
      <c r="H52" s="18"/>
      <c r="I52" s="18"/>
      <c r="J52" s="18"/>
      <c r="K52" s="19" t="s">
        <v>620</v>
      </c>
      <c r="L52" s="19" t="s">
        <v>621</v>
      </c>
      <c r="M52" s="19" t="s">
        <v>562</v>
      </c>
      <c r="N52" s="18"/>
      <c r="O52" s="18"/>
      <c r="P52" s="18"/>
      <c r="Q52" s="18"/>
      <c r="R52" s="18"/>
      <c r="S52" s="18"/>
      <c r="T52" s="18"/>
      <c r="U52" s="18"/>
      <c r="V52" s="18"/>
      <c r="W52" s="18"/>
      <c r="X52" s="18"/>
      <c r="Y52" s="18"/>
      <c r="Z52" s="18"/>
      <c r="AA52" s="18"/>
      <c r="AB52" s="18"/>
      <c r="AC52" s="18"/>
    </row>
    <row r="53" hidden="1">
      <c r="A53" s="5" t="s">
        <v>125</v>
      </c>
      <c r="B53" s="5">
        <v>2018.0</v>
      </c>
      <c r="C53" s="5" t="s">
        <v>471</v>
      </c>
      <c r="D53" s="5" t="s">
        <v>622</v>
      </c>
      <c r="E53" s="5" t="s">
        <v>514</v>
      </c>
      <c r="F53" s="5" t="s">
        <v>481</v>
      </c>
      <c r="G53" s="5" t="s">
        <v>492</v>
      </c>
      <c r="H53" s="18"/>
      <c r="I53" s="18"/>
      <c r="J53" s="18"/>
      <c r="K53" s="19" t="s">
        <v>623</v>
      </c>
      <c r="L53" s="19" t="s">
        <v>624</v>
      </c>
      <c r="M53" s="19" t="s">
        <v>562</v>
      </c>
      <c r="N53" s="18"/>
      <c r="O53" s="18"/>
      <c r="P53" s="18"/>
      <c r="Q53" s="18"/>
      <c r="R53" s="18"/>
      <c r="S53" s="18"/>
      <c r="T53" s="18"/>
      <c r="U53" s="18"/>
      <c r="V53" s="18"/>
      <c r="W53" s="18"/>
      <c r="X53" s="18"/>
      <c r="Y53" s="18"/>
      <c r="Z53" s="18"/>
      <c r="AA53" s="18"/>
      <c r="AB53" s="18"/>
      <c r="AC53" s="18"/>
    </row>
    <row r="54" hidden="1">
      <c r="A54" s="5" t="s">
        <v>125</v>
      </c>
      <c r="B54" s="5">
        <v>2018.0</v>
      </c>
      <c r="C54" s="5" t="s">
        <v>471</v>
      </c>
      <c r="D54" s="5" t="s">
        <v>625</v>
      </c>
      <c r="E54" s="5" t="s">
        <v>473</v>
      </c>
      <c r="F54" s="5" t="s">
        <v>474</v>
      </c>
      <c r="G54" s="5" t="s">
        <v>475</v>
      </c>
      <c r="H54" s="18"/>
      <c r="I54" s="18"/>
      <c r="J54" s="18"/>
      <c r="K54" s="19" t="s">
        <v>626</v>
      </c>
      <c r="L54" s="19" t="s">
        <v>627</v>
      </c>
      <c r="M54" s="19" t="s">
        <v>562</v>
      </c>
      <c r="N54" s="18"/>
      <c r="O54" s="18"/>
      <c r="P54" s="18"/>
      <c r="Q54" s="18"/>
      <c r="R54" s="18"/>
      <c r="S54" s="18"/>
      <c r="T54" s="18"/>
      <c r="U54" s="18"/>
      <c r="V54" s="18"/>
      <c r="W54" s="18"/>
      <c r="X54" s="18"/>
      <c r="Y54" s="18"/>
      <c r="Z54" s="18"/>
      <c r="AA54" s="18"/>
      <c r="AB54" s="18"/>
      <c r="AC54" s="18"/>
    </row>
    <row r="55" hidden="1">
      <c r="A55" s="5" t="s">
        <v>125</v>
      </c>
      <c r="B55" s="5">
        <v>2018.0</v>
      </c>
      <c r="C55" s="5" t="s">
        <v>471</v>
      </c>
      <c r="D55" s="5" t="s">
        <v>628</v>
      </c>
      <c r="E55" s="5" t="s">
        <v>473</v>
      </c>
      <c r="F55" s="5" t="s">
        <v>474</v>
      </c>
      <c r="G55" s="5" t="s">
        <v>475</v>
      </c>
      <c r="H55" s="18"/>
      <c r="I55" s="18"/>
      <c r="J55" s="18"/>
      <c r="K55" s="19" t="s">
        <v>629</v>
      </c>
      <c r="L55" s="19" t="s">
        <v>630</v>
      </c>
      <c r="M55" s="19" t="s">
        <v>562</v>
      </c>
      <c r="N55" s="18"/>
      <c r="O55" s="18"/>
      <c r="P55" s="18"/>
      <c r="Q55" s="18"/>
      <c r="R55" s="18"/>
      <c r="S55" s="18"/>
      <c r="T55" s="18"/>
      <c r="U55" s="18"/>
      <c r="V55" s="18"/>
      <c r="W55" s="18"/>
      <c r="X55" s="18"/>
      <c r="Y55" s="18"/>
      <c r="Z55" s="18"/>
      <c r="AA55" s="18"/>
      <c r="AB55" s="18"/>
      <c r="AC55" s="18"/>
    </row>
    <row r="56" hidden="1">
      <c r="A56" s="5" t="s">
        <v>125</v>
      </c>
      <c r="B56" s="5">
        <v>2018.0</v>
      </c>
      <c r="C56" s="5" t="s">
        <v>471</v>
      </c>
      <c r="D56" s="5" t="s">
        <v>631</v>
      </c>
      <c r="E56" s="5" t="s">
        <v>473</v>
      </c>
      <c r="F56" s="5" t="s">
        <v>481</v>
      </c>
      <c r="G56" s="5" t="s">
        <v>475</v>
      </c>
      <c r="H56" s="18"/>
      <c r="I56" s="18"/>
      <c r="J56" s="18"/>
      <c r="K56" s="19" t="s">
        <v>632</v>
      </c>
      <c r="L56" s="19" t="s">
        <v>633</v>
      </c>
      <c r="M56" s="19" t="s">
        <v>562</v>
      </c>
      <c r="N56" s="18"/>
      <c r="O56" s="18"/>
      <c r="P56" s="18"/>
      <c r="Q56" s="18"/>
      <c r="R56" s="18"/>
      <c r="S56" s="18"/>
      <c r="T56" s="18"/>
      <c r="U56" s="18"/>
      <c r="V56" s="18"/>
      <c r="W56" s="18"/>
      <c r="X56" s="18"/>
      <c r="Y56" s="18"/>
      <c r="Z56" s="18"/>
      <c r="AA56" s="18"/>
      <c r="AB56" s="18"/>
      <c r="AC56" s="18"/>
    </row>
    <row r="57" hidden="1">
      <c r="A57" s="5" t="s">
        <v>125</v>
      </c>
      <c r="B57" s="5">
        <v>2018.0</v>
      </c>
      <c r="C57" s="5" t="s">
        <v>471</v>
      </c>
      <c r="D57" s="5" t="s">
        <v>634</v>
      </c>
      <c r="E57" s="5" t="s">
        <v>473</v>
      </c>
      <c r="F57" s="5" t="s">
        <v>481</v>
      </c>
      <c r="G57" s="5" t="s">
        <v>488</v>
      </c>
      <c r="H57" s="18"/>
      <c r="I57" s="18"/>
      <c r="J57" s="18"/>
      <c r="K57" s="19" t="s">
        <v>635</v>
      </c>
      <c r="L57" s="19" t="s">
        <v>636</v>
      </c>
      <c r="M57" s="19" t="s">
        <v>562</v>
      </c>
      <c r="N57" s="18"/>
      <c r="O57" s="18"/>
      <c r="P57" s="18"/>
      <c r="Q57" s="18"/>
      <c r="R57" s="18"/>
      <c r="S57" s="18"/>
      <c r="T57" s="18"/>
      <c r="U57" s="18"/>
      <c r="V57" s="18"/>
      <c r="W57" s="18"/>
      <c r="X57" s="18"/>
      <c r="Y57" s="18"/>
      <c r="Z57" s="18"/>
      <c r="AA57" s="18"/>
      <c r="AB57" s="18"/>
      <c r="AC57" s="18"/>
    </row>
    <row r="58" hidden="1">
      <c r="A58" s="5" t="s">
        <v>125</v>
      </c>
      <c r="B58" s="5">
        <v>2018.0</v>
      </c>
      <c r="C58" s="5" t="s">
        <v>471</v>
      </c>
      <c r="D58" s="5" t="s">
        <v>637</v>
      </c>
      <c r="E58" s="5" t="s">
        <v>473</v>
      </c>
      <c r="F58" s="5" t="s">
        <v>474</v>
      </c>
      <c r="G58" s="5" t="s">
        <v>475</v>
      </c>
      <c r="H58" s="18"/>
      <c r="I58" s="18"/>
      <c r="J58" s="18"/>
      <c r="K58" s="19" t="s">
        <v>583</v>
      </c>
      <c r="L58" s="19" t="s">
        <v>638</v>
      </c>
      <c r="M58" s="19" t="s">
        <v>562</v>
      </c>
      <c r="N58" s="18"/>
      <c r="O58" s="18"/>
      <c r="P58" s="18"/>
      <c r="Q58" s="18"/>
      <c r="R58" s="18"/>
      <c r="S58" s="18"/>
      <c r="T58" s="18"/>
      <c r="U58" s="18"/>
      <c r="V58" s="18"/>
      <c r="W58" s="18"/>
      <c r="X58" s="18"/>
      <c r="Y58" s="18"/>
      <c r="Z58" s="18"/>
      <c r="AA58" s="18"/>
      <c r="AB58" s="18"/>
      <c r="AC58" s="18"/>
    </row>
    <row r="59" hidden="1">
      <c r="A59" s="5" t="s">
        <v>125</v>
      </c>
      <c r="B59" s="5">
        <v>2018.0</v>
      </c>
      <c r="C59" s="5" t="s">
        <v>471</v>
      </c>
      <c r="D59" s="5" t="s">
        <v>639</v>
      </c>
      <c r="E59" s="5" t="s">
        <v>473</v>
      </c>
      <c r="F59" s="5" t="s">
        <v>481</v>
      </c>
      <c r="G59" s="5" t="s">
        <v>475</v>
      </c>
      <c r="H59" s="18"/>
      <c r="I59" s="18"/>
      <c r="J59" s="18"/>
      <c r="K59" s="19" t="s">
        <v>640</v>
      </c>
      <c r="L59" s="19" t="s">
        <v>641</v>
      </c>
      <c r="M59" s="19" t="s">
        <v>562</v>
      </c>
      <c r="N59" s="18"/>
      <c r="O59" s="18"/>
      <c r="P59" s="18"/>
      <c r="Q59" s="18"/>
      <c r="R59" s="18"/>
      <c r="S59" s="18"/>
      <c r="T59" s="18"/>
      <c r="U59" s="18"/>
      <c r="V59" s="18"/>
      <c r="W59" s="18"/>
      <c r="X59" s="18"/>
      <c r="Y59" s="18"/>
      <c r="Z59" s="18"/>
      <c r="AA59" s="18"/>
      <c r="AB59" s="18"/>
      <c r="AC59" s="18"/>
    </row>
    <row r="60" hidden="1">
      <c r="A60" s="5" t="s">
        <v>125</v>
      </c>
      <c r="B60" s="5">
        <v>2018.0</v>
      </c>
      <c r="C60" s="5" t="s">
        <v>471</v>
      </c>
      <c r="D60" s="5" t="s">
        <v>642</v>
      </c>
      <c r="E60" s="5" t="s">
        <v>473</v>
      </c>
      <c r="F60" s="5" t="s">
        <v>481</v>
      </c>
      <c r="G60" s="5" t="s">
        <v>475</v>
      </c>
      <c r="H60" s="18"/>
      <c r="I60" s="18"/>
      <c r="J60" s="18"/>
      <c r="K60" s="19" t="s">
        <v>643</v>
      </c>
      <c r="L60" s="19" t="s">
        <v>644</v>
      </c>
      <c r="M60" s="18"/>
      <c r="N60" s="18"/>
      <c r="O60" s="18"/>
      <c r="P60" s="18"/>
      <c r="Q60" s="18"/>
      <c r="R60" s="18"/>
      <c r="S60" s="18"/>
      <c r="T60" s="18"/>
      <c r="U60" s="18"/>
      <c r="V60" s="18"/>
      <c r="W60" s="18"/>
      <c r="X60" s="18"/>
      <c r="Y60" s="18"/>
      <c r="Z60" s="18"/>
      <c r="AA60" s="18"/>
      <c r="AB60" s="18"/>
      <c r="AC60" s="18"/>
    </row>
    <row r="61" hidden="1">
      <c r="A61" s="5" t="s">
        <v>125</v>
      </c>
      <c r="B61" s="5">
        <v>2018.0</v>
      </c>
      <c r="C61" s="5" t="s">
        <v>471</v>
      </c>
      <c r="D61" s="5" t="s">
        <v>645</v>
      </c>
      <c r="E61" s="5" t="s">
        <v>514</v>
      </c>
      <c r="F61" s="5" t="s">
        <v>481</v>
      </c>
      <c r="G61" s="5" t="s">
        <v>475</v>
      </c>
      <c r="H61" s="18"/>
      <c r="I61" s="18"/>
      <c r="J61" s="18"/>
      <c r="K61" s="19" t="s">
        <v>646</v>
      </c>
      <c r="L61" s="19" t="s">
        <v>647</v>
      </c>
      <c r="M61" s="18"/>
      <c r="N61" s="18"/>
      <c r="O61" s="18"/>
      <c r="P61" s="18"/>
      <c r="Q61" s="18"/>
      <c r="R61" s="18"/>
      <c r="S61" s="18"/>
      <c r="T61" s="18"/>
      <c r="U61" s="18"/>
      <c r="V61" s="18"/>
      <c r="W61" s="18"/>
      <c r="X61" s="18"/>
      <c r="Y61" s="18"/>
      <c r="Z61" s="18"/>
      <c r="AA61" s="18"/>
      <c r="AB61" s="18"/>
      <c r="AC61" s="18"/>
    </row>
    <row r="62" hidden="1">
      <c r="A62" s="5" t="s">
        <v>125</v>
      </c>
      <c r="B62" s="5">
        <v>2018.0</v>
      </c>
      <c r="C62" s="5" t="s">
        <v>471</v>
      </c>
      <c r="D62" s="5" t="s">
        <v>648</v>
      </c>
      <c r="E62" s="5" t="s">
        <v>514</v>
      </c>
      <c r="F62" s="5" t="s">
        <v>474</v>
      </c>
      <c r="G62" s="5" t="s">
        <v>475</v>
      </c>
      <c r="H62" s="18"/>
      <c r="I62" s="18"/>
      <c r="J62" s="18"/>
      <c r="K62" s="19" t="s">
        <v>632</v>
      </c>
      <c r="L62" s="19" t="s">
        <v>649</v>
      </c>
      <c r="M62" s="18"/>
      <c r="N62" s="18"/>
      <c r="O62" s="18"/>
      <c r="P62" s="18"/>
      <c r="Q62" s="18"/>
      <c r="R62" s="18"/>
      <c r="S62" s="18"/>
      <c r="T62" s="18"/>
      <c r="U62" s="18"/>
      <c r="V62" s="18"/>
      <c r="W62" s="18"/>
      <c r="X62" s="18"/>
      <c r="Y62" s="18"/>
      <c r="Z62" s="18"/>
      <c r="AA62" s="18"/>
      <c r="AB62" s="18"/>
      <c r="AC62" s="18"/>
    </row>
    <row r="63" hidden="1">
      <c r="A63" s="5" t="s">
        <v>94</v>
      </c>
      <c r="B63" s="5">
        <v>2011.0</v>
      </c>
      <c r="C63" s="5" t="s">
        <v>178</v>
      </c>
      <c r="D63" s="5" t="s">
        <v>650</v>
      </c>
      <c r="E63" s="5" t="s">
        <v>514</v>
      </c>
      <c r="F63" s="5" t="s">
        <v>481</v>
      </c>
      <c r="G63" s="5" t="s">
        <v>651</v>
      </c>
      <c r="H63" s="18"/>
      <c r="I63" s="18"/>
      <c r="J63" s="18"/>
      <c r="K63" s="19" t="s">
        <v>652</v>
      </c>
      <c r="L63" s="19" t="s">
        <v>653</v>
      </c>
      <c r="M63" s="18"/>
      <c r="N63" s="18"/>
      <c r="O63" s="18"/>
      <c r="P63" s="18"/>
      <c r="Q63" s="18"/>
      <c r="R63" s="18"/>
      <c r="S63" s="18"/>
      <c r="T63" s="18"/>
      <c r="U63" s="18"/>
      <c r="V63" s="18"/>
      <c r="W63" s="18"/>
      <c r="X63" s="18"/>
      <c r="Y63" s="18"/>
      <c r="Z63" s="18"/>
      <c r="AA63" s="18"/>
      <c r="AB63" s="18"/>
      <c r="AC63" s="18"/>
    </row>
    <row r="64" hidden="1">
      <c r="A64" s="5" t="s">
        <v>94</v>
      </c>
      <c r="B64" s="5">
        <v>2011.0</v>
      </c>
      <c r="C64" s="5" t="s">
        <v>178</v>
      </c>
      <c r="D64" s="5" t="s">
        <v>654</v>
      </c>
      <c r="E64" s="5" t="s">
        <v>473</v>
      </c>
      <c r="F64" s="5" t="s">
        <v>474</v>
      </c>
      <c r="G64" s="5" t="s">
        <v>492</v>
      </c>
      <c r="H64" s="18"/>
      <c r="I64" s="18"/>
      <c r="J64" s="18"/>
      <c r="K64" s="19" t="s">
        <v>655</v>
      </c>
      <c r="L64" s="19" t="s">
        <v>656</v>
      </c>
      <c r="M64" s="18"/>
      <c r="N64" s="18"/>
      <c r="O64" s="18"/>
      <c r="P64" s="18"/>
      <c r="Q64" s="18"/>
      <c r="R64" s="18"/>
      <c r="S64" s="18"/>
      <c r="T64" s="18"/>
      <c r="U64" s="18"/>
      <c r="V64" s="18"/>
      <c r="W64" s="18"/>
      <c r="X64" s="18"/>
      <c r="Y64" s="18"/>
      <c r="Z64" s="18"/>
      <c r="AA64" s="18"/>
      <c r="AB64" s="18"/>
      <c r="AC64" s="18"/>
    </row>
    <row r="65" hidden="1">
      <c r="A65" s="5" t="s">
        <v>94</v>
      </c>
      <c r="B65" s="5">
        <v>2011.0</v>
      </c>
      <c r="C65" s="5" t="s">
        <v>178</v>
      </c>
      <c r="D65" s="5" t="s">
        <v>657</v>
      </c>
      <c r="E65" s="5" t="s">
        <v>514</v>
      </c>
      <c r="F65" s="5" t="s">
        <v>481</v>
      </c>
      <c r="G65" s="5" t="s">
        <v>475</v>
      </c>
      <c r="H65" s="18"/>
      <c r="I65" s="18"/>
      <c r="J65" s="18"/>
      <c r="K65" s="19" t="s">
        <v>658</v>
      </c>
      <c r="L65" s="19" t="s">
        <v>659</v>
      </c>
      <c r="M65" s="18"/>
      <c r="N65" s="18"/>
      <c r="O65" s="18"/>
      <c r="P65" s="18"/>
      <c r="Q65" s="18"/>
      <c r="R65" s="18"/>
      <c r="S65" s="18"/>
      <c r="T65" s="18"/>
      <c r="U65" s="18"/>
      <c r="V65" s="18"/>
      <c r="W65" s="18"/>
      <c r="X65" s="18"/>
      <c r="Y65" s="18"/>
      <c r="Z65" s="18"/>
      <c r="AA65" s="18"/>
      <c r="AB65" s="18"/>
      <c r="AC65" s="18"/>
    </row>
    <row r="66" hidden="1">
      <c r="A66" s="5" t="s">
        <v>94</v>
      </c>
      <c r="B66" s="5">
        <v>2011.0</v>
      </c>
      <c r="C66" s="5" t="s">
        <v>178</v>
      </c>
      <c r="D66" s="5" t="s">
        <v>660</v>
      </c>
      <c r="E66" s="5" t="s">
        <v>514</v>
      </c>
      <c r="F66" s="5" t="s">
        <v>481</v>
      </c>
      <c r="G66" s="5" t="s">
        <v>475</v>
      </c>
      <c r="H66" s="18"/>
      <c r="I66" s="18"/>
      <c r="J66" s="18"/>
      <c r="K66" s="19" t="s">
        <v>629</v>
      </c>
      <c r="L66" s="19" t="s">
        <v>661</v>
      </c>
      <c r="M66" s="18"/>
      <c r="N66" s="18"/>
      <c r="O66" s="18"/>
      <c r="P66" s="18"/>
      <c r="Q66" s="18"/>
      <c r="R66" s="18"/>
      <c r="S66" s="18"/>
      <c r="T66" s="18"/>
      <c r="U66" s="18"/>
      <c r="V66" s="18"/>
      <c r="W66" s="18"/>
      <c r="X66" s="18"/>
      <c r="Y66" s="18"/>
      <c r="Z66" s="18"/>
      <c r="AA66" s="18"/>
      <c r="AB66" s="18"/>
      <c r="AC66" s="18"/>
    </row>
    <row r="67" hidden="1">
      <c r="A67" s="5" t="s">
        <v>94</v>
      </c>
      <c r="B67" s="5">
        <v>2011.0</v>
      </c>
      <c r="C67" s="5" t="s">
        <v>178</v>
      </c>
      <c r="D67" s="5" t="s">
        <v>662</v>
      </c>
      <c r="E67" s="5" t="s">
        <v>514</v>
      </c>
      <c r="F67" s="5" t="s">
        <v>481</v>
      </c>
      <c r="G67" s="5" t="s">
        <v>475</v>
      </c>
      <c r="H67" s="18"/>
      <c r="I67" s="18"/>
      <c r="J67" s="18"/>
      <c r="K67" s="19" t="s">
        <v>523</v>
      </c>
      <c r="L67" s="19" t="s">
        <v>663</v>
      </c>
      <c r="M67" s="18"/>
      <c r="N67" s="18"/>
      <c r="O67" s="18"/>
      <c r="P67" s="18"/>
      <c r="Q67" s="18"/>
      <c r="R67" s="18"/>
      <c r="S67" s="18"/>
      <c r="T67" s="18"/>
      <c r="U67" s="18"/>
      <c r="V67" s="18"/>
      <c r="W67" s="18"/>
      <c r="X67" s="18"/>
      <c r="Y67" s="18"/>
      <c r="Z67" s="18"/>
      <c r="AA67" s="18"/>
      <c r="AB67" s="18"/>
      <c r="AC67" s="18"/>
    </row>
    <row r="68" hidden="1">
      <c r="A68" s="5" t="s">
        <v>94</v>
      </c>
      <c r="B68" s="5">
        <v>2011.0</v>
      </c>
      <c r="C68" s="5" t="s">
        <v>178</v>
      </c>
      <c r="D68" s="5" t="s">
        <v>664</v>
      </c>
      <c r="E68" s="5" t="s">
        <v>514</v>
      </c>
      <c r="F68" s="5" t="s">
        <v>481</v>
      </c>
      <c r="G68" s="5" t="s">
        <v>475</v>
      </c>
      <c r="H68" s="18"/>
      <c r="I68" s="18"/>
      <c r="J68" s="18"/>
      <c r="K68" s="19" t="s">
        <v>665</v>
      </c>
      <c r="L68" s="19" t="s">
        <v>666</v>
      </c>
      <c r="M68" s="18"/>
      <c r="N68" s="18"/>
      <c r="O68" s="18"/>
      <c r="P68" s="18"/>
      <c r="Q68" s="18"/>
      <c r="R68" s="18"/>
      <c r="S68" s="18"/>
      <c r="T68" s="18"/>
      <c r="U68" s="18"/>
      <c r="V68" s="18"/>
      <c r="W68" s="18"/>
      <c r="X68" s="18"/>
      <c r="Y68" s="18"/>
      <c r="Z68" s="18"/>
      <c r="AA68" s="18"/>
      <c r="AB68" s="18"/>
      <c r="AC68" s="18"/>
    </row>
    <row r="69" hidden="1">
      <c r="A69" s="5" t="s">
        <v>94</v>
      </c>
      <c r="B69" s="5">
        <v>2011.0</v>
      </c>
      <c r="C69" s="5" t="s">
        <v>178</v>
      </c>
      <c r="D69" s="5" t="s">
        <v>667</v>
      </c>
      <c r="E69" s="5" t="s">
        <v>514</v>
      </c>
      <c r="F69" s="5" t="s">
        <v>481</v>
      </c>
      <c r="G69" s="5" t="s">
        <v>475</v>
      </c>
      <c r="H69" s="18"/>
      <c r="I69" s="18"/>
      <c r="J69" s="18"/>
      <c r="K69" s="19" t="s">
        <v>668</v>
      </c>
      <c r="L69" s="19" t="s">
        <v>669</v>
      </c>
      <c r="M69" s="18"/>
      <c r="N69" s="18"/>
      <c r="O69" s="18"/>
      <c r="P69" s="18"/>
      <c r="Q69" s="18"/>
      <c r="R69" s="18"/>
      <c r="S69" s="18"/>
      <c r="T69" s="18"/>
      <c r="U69" s="18"/>
      <c r="V69" s="18"/>
      <c r="W69" s="18"/>
      <c r="X69" s="18"/>
      <c r="Y69" s="18"/>
      <c r="Z69" s="18"/>
      <c r="AA69" s="18"/>
      <c r="AB69" s="18"/>
      <c r="AC69" s="18"/>
    </row>
    <row r="70" hidden="1">
      <c r="A70" s="5" t="s">
        <v>94</v>
      </c>
      <c r="B70" s="5">
        <v>2011.0</v>
      </c>
      <c r="C70" s="5" t="s">
        <v>178</v>
      </c>
      <c r="D70" s="5" t="s">
        <v>670</v>
      </c>
      <c r="E70" s="5" t="s">
        <v>514</v>
      </c>
      <c r="F70" s="5" t="s">
        <v>481</v>
      </c>
      <c r="G70" s="5" t="s">
        <v>475</v>
      </c>
      <c r="H70" s="18"/>
      <c r="I70" s="18"/>
      <c r="J70" s="18"/>
      <c r="K70" s="19" t="s">
        <v>671</v>
      </c>
      <c r="L70" s="19" t="s">
        <v>672</v>
      </c>
      <c r="M70" s="18"/>
      <c r="N70" s="18"/>
      <c r="O70" s="18"/>
      <c r="P70" s="18"/>
      <c r="Q70" s="18"/>
      <c r="R70" s="18"/>
      <c r="S70" s="18"/>
      <c r="T70" s="18"/>
      <c r="U70" s="18"/>
      <c r="V70" s="18"/>
      <c r="W70" s="18"/>
      <c r="X70" s="18"/>
      <c r="Y70" s="18"/>
      <c r="Z70" s="18"/>
      <c r="AA70" s="18"/>
      <c r="AB70" s="18"/>
      <c r="AC70" s="18"/>
    </row>
    <row r="71" hidden="1">
      <c r="A71" s="5" t="s">
        <v>94</v>
      </c>
      <c r="B71" s="5">
        <v>2011.0</v>
      </c>
      <c r="C71" s="5" t="s">
        <v>178</v>
      </c>
      <c r="D71" s="5" t="s">
        <v>673</v>
      </c>
      <c r="E71" s="5" t="s">
        <v>514</v>
      </c>
      <c r="F71" s="5" t="s">
        <v>481</v>
      </c>
      <c r="G71" s="5" t="s">
        <v>475</v>
      </c>
      <c r="H71" s="18"/>
      <c r="I71" s="18"/>
      <c r="J71" s="18"/>
      <c r="K71" s="19" t="s">
        <v>674</v>
      </c>
      <c r="L71" s="19" t="s">
        <v>675</v>
      </c>
      <c r="M71" s="18"/>
      <c r="N71" s="18"/>
      <c r="O71" s="18"/>
      <c r="P71" s="18"/>
      <c r="Q71" s="18"/>
      <c r="R71" s="18"/>
      <c r="S71" s="18"/>
      <c r="T71" s="18"/>
      <c r="U71" s="18"/>
      <c r="V71" s="18"/>
      <c r="W71" s="18"/>
      <c r="X71" s="18"/>
      <c r="Y71" s="18"/>
      <c r="Z71" s="18"/>
      <c r="AA71" s="18"/>
      <c r="AB71" s="18"/>
      <c r="AC71" s="18"/>
    </row>
    <row r="72" hidden="1">
      <c r="A72" s="5" t="s">
        <v>94</v>
      </c>
      <c r="B72" s="5">
        <v>2011.0</v>
      </c>
      <c r="C72" s="5" t="s">
        <v>178</v>
      </c>
      <c r="D72" s="5" t="s">
        <v>676</v>
      </c>
      <c r="E72" s="5" t="s">
        <v>514</v>
      </c>
      <c r="F72" s="5" t="s">
        <v>481</v>
      </c>
      <c r="G72" s="5" t="s">
        <v>475</v>
      </c>
      <c r="H72" s="18"/>
      <c r="I72" s="18"/>
      <c r="J72" s="18"/>
      <c r="K72" s="19" t="s">
        <v>677</v>
      </c>
      <c r="L72" s="19" t="s">
        <v>678</v>
      </c>
      <c r="M72" s="18"/>
      <c r="N72" s="18"/>
      <c r="O72" s="18"/>
      <c r="P72" s="18"/>
      <c r="Q72" s="18"/>
      <c r="R72" s="18"/>
      <c r="S72" s="18"/>
      <c r="T72" s="18"/>
      <c r="U72" s="18"/>
      <c r="V72" s="18"/>
      <c r="W72" s="18"/>
      <c r="X72" s="18"/>
      <c r="Y72" s="18"/>
      <c r="Z72" s="18"/>
      <c r="AA72" s="18"/>
      <c r="AB72" s="18"/>
      <c r="AC72" s="18"/>
    </row>
    <row r="73" hidden="1">
      <c r="A73" s="5" t="s">
        <v>94</v>
      </c>
      <c r="B73" s="5">
        <v>2011.0</v>
      </c>
      <c r="C73" s="5" t="s">
        <v>178</v>
      </c>
      <c r="D73" s="5" t="s">
        <v>679</v>
      </c>
      <c r="E73" s="5" t="s">
        <v>514</v>
      </c>
      <c r="F73" s="5" t="s">
        <v>481</v>
      </c>
      <c r="G73" s="5" t="s">
        <v>475</v>
      </c>
      <c r="H73" s="18"/>
      <c r="I73" s="18"/>
      <c r="J73" s="18"/>
      <c r="K73" s="19" t="s">
        <v>680</v>
      </c>
      <c r="L73" s="19" t="s">
        <v>678</v>
      </c>
      <c r="M73" s="18"/>
      <c r="N73" s="18"/>
      <c r="O73" s="18"/>
      <c r="P73" s="18"/>
      <c r="Q73" s="18"/>
      <c r="R73" s="18"/>
      <c r="S73" s="18"/>
      <c r="T73" s="18"/>
      <c r="U73" s="18"/>
      <c r="V73" s="18"/>
      <c r="W73" s="18"/>
      <c r="X73" s="18"/>
      <c r="Y73" s="18"/>
      <c r="Z73" s="18"/>
      <c r="AA73" s="18"/>
      <c r="AB73" s="18"/>
      <c r="AC73" s="18"/>
    </row>
    <row r="74" hidden="1">
      <c r="A74" s="5" t="s">
        <v>94</v>
      </c>
      <c r="B74" s="5">
        <v>2011.0</v>
      </c>
      <c r="C74" s="5" t="s">
        <v>178</v>
      </c>
      <c r="D74" s="5" t="s">
        <v>681</v>
      </c>
      <c r="E74" s="5" t="s">
        <v>514</v>
      </c>
      <c r="F74" s="5" t="s">
        <v>481</v>
      </c>
      <c r="G74" s="5" t="s">
        <v>475</v>
      </c>
      <c r="H74" s="18"/>
      <c r="I74" s="18"/>
      <c r="J74" s="18"/>
      <c r="K74" s="19" t="s">
        <v>682</v>
      </c>
      <c r="L74" s="19" t="s">
        <v>683</v>
      </c>
      <c r="M74" s="18"/>
      <c r="N74" s="18"/>
      <c r="O74" s="18"/>
      <c r="P74" s="18"/>
      <c r="Q74" s="18"/>
      <c r="R74" s="18"/>
      <c r="S74" s="18"/>
      <c r="T74" s="18"/>
      <c r="U74" s="18"/>
      <c r="V74" s="18"/>
      <c r="W74" s="18"/>
      <c r="X74" s="18"/>
      <c r="Y74" s="18"/>
      <c r="Z74" s="18"/>
      <c r="AA74" s="18"/>
      <c r="AB74" s="18"/>
      <c r="AC74" s="18"/>
    </row>
    <row r="75" hidden="1">
      <c r="A75" s="5" t="s">
        <v>94</v>
      </c>
      <c r="B75" s="5">
        <v>2011.0</v>
      </c>
      <c r="C75" s="5" t="s">
        <v>178</v>
      </c>
      <c r="D75" s="5" t="s">
        <v>684</v>
      </c>
      <c r="E75" s="5" t="s">
        <v>514</v>
      </c>
      <c r="F75" s="5" t="s">
        <v>481</v>
      </c>
      <c r="G75" s="5" t="s">
        <v>475</v>
      </c>
      <c r="H75" s="18"/>
      <c r="I75" s="18"/>
      <c r="J75" s="18"/>
      <c r="K75" s="19" t="s">
        <v>685</v>
      </c>
      <c r="L75" s="19" t="s">
        <v>686</v>
      </c>
      <c r="M75" s="18"/>
      <c r="N75" s="18"/>
      <c r="O75" s="18"/>
      <c r="P75" s="18"/>
      <c r="Q75" s="18"/>
      <c r="R75" s="18"/>
      <c r="S75" s="18"/>
      <c r="T75" s="18"/>
      <c r="U75" s="18"/>
      <c r="V75" s="18"/>
      <c r="W75" s="18"/>
      <c r="X75" s="18"/>
      <c r="Y75" s="18"/>
      <c r="Z75" s="18"/>
      <c r="AA75" s="18"/>
      <c r="AB75" s="18"/>
      <c r="AC75" s="18"/>
    </row>
    <row r="76" hidden="1">
      <c r="A76" s="5" t="s">
        <v>94</v>
      </c>
      <c r="B76" s="5">
        <v>2011.0</v>
      </c>
      <c r="C76" s="5" t="s">
        <v>178</v>
      </c>
      <c r="D76" s="5" t="s">
        <v>687</v>
      </c>
      <c r="E76" s="5" t="s">
        <v>514</v>
      </c>
      <c r="F76" s="5" t="s">
        <v>481</v>
      </c>
      <c r="G76" s="5" t="s">
        <v>475</v>
      </c>
      <c r="H76" s="18"/>
      <c r="I76" s="18"/>
      <c r="J76" s="18"/>
      <c r="K76" s="19" t="s">
        <v>511</v>
      </c>
      <c r="L76" s="19" t="s">
        <v>688</v>
      </c>
      <c r="M76" s="18"/>
      <c r="N76" s="18"/>
      <c r="O76" s="18"/>
      <c r="P76" s="18"/>
      <c r="Q76" s="18"/>
      <c r="R76" s="18"/>
      <c r="S76" s="18"/>
      <c r="T76" s="18"/>
      <c r="U76" s="18"/>
      <c r="V76" s="18"/>
      <c r="W76" s="18"/>
      <c r="X76" s="18"/>
      <c r="Y76" s="18"/>
      <c r="Z76" s="18"/>
      <c r="AA76" s="18"/>
      <c r="AB76" s="18"/>
      <c r="AC76" s="18"/>
    </row>
    <row r="77" hidden="1">
      <c r="A77" s="5" t="s">
        <v>94</v>
      </c>
      <c r="B77" s="5">
        <v>2011.0</v>
      </c>
      <c r="C77" s="5" t="s">
        <v>178</v>
      </c>
      <c r="D77" s="5" t="s">
        <v>689</v>
      </c>
      <c r="E77" s="5" t="s">
        <v>514</v>
      </c>
      <c r="F77" s="5" t="s">
        <v>474</v>
      </c>
      <c r="G77" s="5" t="s">
        <v>475</v>
      </c>
      <c r="H77" s="18"/>
      <c r="I77" s="18"/>
      <c r="J77" s="18"/>
      <c r="K77" s="19" t="s">
        <v>690</v>
      </c>
      <c r="L77" s="19" t="s">
        <v>691</v>
      </c>
      <c r="M77" s="19" t="s">
        <v>692</v>
      </c>
      <c r="N77" s="18"/>
      <c r="O77" s="18"/>
      <c r="P77" s="18"/>
      <c r="Q77" s="18"/>
      <c r="R77" s="18"/>
      <c r="S77" s="18"/>
      <c r="T77" s="18"/>
      <c r="U77" s="18"/>
      <c r="V77" s="18"/>
      <c r="W77" s="18"/>
      <c r="X77" s="18"/>
      <c r="Y77" s="18"/>
      <c r="Z77" s="18"/>
      <c r="AA77" s="18"/>
      <c r="AB77" s="18"/>
      <c r="AC77" s="18"/>
    </row>
    <row r="78" hidden="1">
      <c r="A78" s="5" t="s">
        <v>94</v>
      </c>
      <c r="B78" s="5">
        <v>2011.0</v>
      </c>
      <c r="C78" s="5" t="s">
        <v>178</v>
      </c>
      <c r="D78" s="5" t="s">
        <v>693</v>
      </c>
      <c r="E78" s="5" t="s">
        <v>473</v>
      </c>
      <c r="F78" s="5" t="s">
        <v>474</v>
      </c>
      <c r="G78" s="5" t="s">
        <v>475</v>
      </c>
      <c r="H78" s="18"/>
      <c r="I78" s="18"/>
      <c r="J78" s="18"/>
      <c r="K78" s="19" t="s">
        <v>694</v>
      </c>
      <c r="L78" s="19" t="s">
        <v>695</v>
      </c>
      <c r="M78" s="18"/>
      <c r="N78" s="18"/>
      <c r="O78" s="18"/>
      <c r="P78" s="18"/>
      <c r="Q78" s="18"/>
      <c r="R78" s="18"/>
      <c r="S78" s="18"/>
      <c r="T78" s="18"/>
      <c r="U78" s="18"/>
      <c r="V78" s="18"/>
      <c r="W78" s="18"/>
      <c r="X78" s="18"/>
      <c r="Y78" s="18"/>
      <c r="Z78" s="18"/>
      <c r="AA78" s="18"/>
      <c r="AB78" s="18"/>
      <c r="AC78" s="18"/>
    </row>
    <row r="79" hidden="1">
      <c r="A79" s="5" t="s">
        <v>94</v>
      </c>
      <c r="B79" s="5">
        <v>2011.0</v>
      </c>
      <c r="C79" s="5" t="s">
        <v>178</v>
      </c>
      <c r="D79" s="5" t="s">
        <v>696</v>
      </c>
      <c r="E79" s="5" t="s">
        <v>473</v>
      </c>
      <c r="F79" s="5" t="s">
        <v>474</v>
      </c>
      <c r="G79" s="5" t="s">
        <v>475</v>
      </c>
      <c r="H79" s="18"/>
      <c r="I79" s="18"/>
      <c r="J79" s="18"/>
      <c r="K79" s="19" t="s">
        <v>697</v>
      </c>
      <c r="L79" s="19" t="s">
        <v>698</v>
      </c>
      <c r="M79" s="18"/>
      <c r="N79" s="18"/>
      <c r="O79" s="18"/>
      <c r="P79" s="18"/>
      <c r="Q79" s="18"/>
      <c r="R79" s="18"/>
      <c r="S79" s="18"/>
      <c r="T79" s="18"/>
      <c r="U79" s="18"/>
      <c r="V79" s="18"/>
      <c r="W79" s="18"/>
      <c r="X79" s="18"/>
      <c r="Y79" s="18"/>
      <c r="Z79" s="18"/>
      <c r="AA79" s="18"/>
      <c r="AB79" s="18"/>
      <c r="AC79" s="18"/>
    </row>
    <row r="80" hidden="1">
      <c r="A80" s="5" t="s">
        <v>94</v>
      </c>
      <c r="B80" s="5">
        <v>2011.0</v>
      </c>
      <c r="C80" s="5" t="s">
        <v>178</v>
      </c>
      <c r="D80" s="5" t="s">
        <v>699</v>
      </c>
      <c r="E80" s="5" t="s">
        <v>473</v>
      </c>
      <c r="F80" s="5" t="s">
        <v>474</v>
      </c>
      <c r="G80" s="5" t="s">
        <v>475</v>
      </c>
      <c r="H80" s="18"/>
      <c r="I80" s="18"/>
      <c r="J80" s="18"/>
      <c r="K80" s="19" t="s">
        <v>578</v>
      </c>
      <c r="L80" s="19" t="s">
        <v>700</v>
      </c>
      <c r="M80" s="18"/>
      <c r="N80" s="18"/>
      <c r="O80" s="18"/>
      <c r="P80" s="18"/>
      <c r="Q80" s="18"/>
      <c r="R80" s="18"/>
      <c r="S80" s="18"/>
      <c r="T80" s="18"/>
      <c r="U80" s="18"/>
      <c r="V80" s="18"/>
      <c r="W80" s="18"/>
      <c r="X80" s="18"/>
      <c r="Y80" s="18"/>
      <c r="Z80" s="18"/>
      <c r="AA80" s="18"/>
      <c r="AB80" s="18"/>
      <c r="AC80" s="18"/>
    </row>
    <row r="81" hidden="1">
      <c r="A81" s="5" t="s">
        <v>94</v>
      </c>
      <c r="B81" s="5">
        <v>2011.0</v>
      </c>
      <c r="C81" s="5" t="s">
        <v>178</v>
      </c>
      <c r="D81" s="5" t="s">
        <v>701</v>
      </c>
      <c r="E81" s="5" t="s">
        <v>514</v>
      </c>
      <c r="F81" s="5" t="s">
        <v>474</v>
      </c>
      <c r="G81" s="5" t="s">
        <v>475</v>
      </c>
      <c r="H81" s="18"/>
      <c r="I81" s="18"/>
      <c r="J81" s="18"/>
      <c r="K81" s="19" t="s">
        <v>702</v>
      </c>
      <c r="L81" s="19" t="s">
        <v>703</v>
      </c>
      <c r="M81" s="18"/>
      <c r="N81" s="18"/>
      <c r="O81" s="18"/>
      <c r="P81" s="18"/>
      <c r="Q81" s="18"/>
      <c r="R81" s="18"/>
      <c r="S81" s="18"/>
      <c r="T81" s="18"/>
      <c r="U81" s="18"/>
      <c r="V81" s="18"/>
      <c r="W81" s="18"/>
      <c r="X81" s="18"/>
      <c r="Y81" s="18"/>
      <c r="Z81" s="18"/>
      <c r="AA81" s="18"/>
      <c r="AB81" s="18"/>
      <c r="AC81" s="18"/>
    </row>
    <row r="82" hidden="1">
      <c r="A82" s="5" t="s">
        <v>206</v>
      </c>
      <c r="B82" s="5">
        <v>2011.0</v>
      </c>
      <c r="C82" s="5" t="s">
        <v>207</v>
      </c>
      <c r="D82" s="5" t="s">
        <v>704</v>
      </c>
      <c r="E82" s="5" t="s">
        <v>473</v>
      </c>
      <c r="F82" s="5" t="s">
        <v>481</v>
      </c>
      <c r="G82" s="5" t="s">
        <v>475</v>
      </c>
      <c r="H82" s="18"/>
      <c r="I82" s="18"/>
      <c r="J82" s="18"/>
      <c r="K82" s="19" t="s">
        <v>705</v>
      </c>
      <c r="L82" s="19" t="s">
        <v>706</v>
      </c>
      <c r="M82" s="18"/>
      <c r="N82" s="18"/>
      <c r="O82" s="18"/>
      <c r="P82" s="18"/>
      <c r="Q82" s="18"/>
      <c r="R82" s="18"/>
      <c r="S82" s="18"/>
      <c r="T82" s="18"/>
      <c r="U82" s="18"/>
      <c r="V82" s="18"/>
      <c r="W82" s="18"/>
      <c r="X82" s="18"/>
      <c r="Y82" s="18"/>
      <c r="Z82" s="18"/>
      <c r="AA82" s="18"/>
      <c r="AB82" s="18"/>
      <c r="AC82" s="18"/>
    </row>
    <row r="83" hidden="1">
      <c r="A83" s="5" t="s">
        <v>206</v>
      </c>
      <c r="B83" s="5">
        <v>2011.0</v>
      </c>
      <c r="C83" s="5" t="s">
        <v>207</v>
      </c>
      <c r="D83" s="5" t="s">
        <v>707</v>
      </c>
      <c r="E83" s="5" t="s">
        <v>473</v>
      </c>
      <c r="F83" s="5" t="s">
        <v>481</v>
      </c>
      <c r="G83" s="5" t="s">
        <v>475</v>
      </c>
      <c r="H83" s="18"/>
      <c r="I83" s="18"/>
      <c r="J83" s="18"/>
      <c r="K83" s="19" t="s">
        <v>708</v>
      </c>
      <c r="L83" s="19" t="s">
        <v>709</v>
      </c>
      <c r="M83" s="18"/>
      <c r="N83" s="18"/>
      <c r="O83" s="18"/>
      <c r="P83" s="18"/>
      <c r="Q83" s="18"/>
      <c r="R83" s="18"/>
      <c r="S83" s="18"/>
      <c r="T83" s="18"/>
      <c r="U83" s="18"/>
      <c r="V83" s="18"/>
      <c r="W83" s="18"/>
      <c r="X83" s="18"/>
      <c r="Y83" s="18"/>
      <c r="Z83" s="18"/>
      <c r="AA83" s="18"/>
      <c r="AB83" s="18"/>
      <c r="AC83" s="18"/>
    </row>
    <row r="84" hidden="1">
      <c r="A84" s="5" t="s">
        <v>206</v>
      </c>
      <c r="B84" s="5">
        <v>2011.0</v>
      </c>
      <c r="C84" s="5" t="s">
        <v>207</v>
      </c>
      <c r="D84" s="5" t="s">
        <v>710</v>
      </c>
      <c r="E84" s="5" t="s">
        <v>473</v>
      </c>
      <c r="F84" s="5" t="s">
        <v>481</v>
      </c>
      <c r="G84" s="5" t="s">
        <v>475</v>
      </c>
      <c r="H84" s="18"/>
      <c r="I84" s="18"/>
      <c r="J84" s="18"/>
      <c r="K84" s="19" t="s">
        <v>711</v>
      </c>
      <c r="L84" s="19" t="s">
        <v>712</v>
      </c>
      <c r="M84" s="18"/>
      <c r="N84" s="18"/>
      <c r="O84" s="18"/>
      <c r="P84" s="18"/>
      <c r="Q84" s="18"/>
      <c r="R84" s="18"/>
      <c r="S84" s="18"/>
      <c r="T84" s="18"/>
      <c r="U84" s="18"/>
      <c r="V84" s="18"/>
      <c r="W84" s="18"/>
      <c r="X84" s="18"/>
      <c r="Y84" s="18"/>
      <c r="Z84" s="18"/>
      <c r="AA84" s="18"/>
      <c r="AB84" s="18"/>
      <c r="AC84" s="18"/>
    </row>
    <row r="85" hidden="1">
      <c r="A85" s="5" t="s">
        <v>206</v>
      </c>
      <c r="B85" s="5">
        <v>2011.0</v>
      </c>
      <c r="C85" s="5" t="s">
        <v>207</v>
      </c>
      <c r="D85" s="5" t="s">
        <v>713</v>
      </c>
      <c r="E85" s="5" t="s">
        <v>514</v>
      </c>
      <c r="F85" s="5" t="s">
        <v>481</v>
      </c>
      <c r="G85" s="5" t="s">
        <v>475</v>
      </c>
      <c r="H85" s="18"/>
      <c r="I85" s="18"/>
      <c r="J85" s="18"/>
      <c r="K85" s="18"/>
      <c r="L85" s="18"/>
      <c r="M85" s="18"/>
      <c r="N85" s="18"/>
      <c r="O85" s="18"/>
      <c r="P85" s="18"/>
      <c r="Q85" s="18"/>
      <c r="R85" s="18"/>
      <c r="S85" s="18"/>
      <c r="T85" s="18"/>
      <c r="U85" s="18"/>
      <c r="V85" s="18"/>
      <c r="W85" s="18"/>
      <c r="X85" s="18"/>
      <c r="Y85" s="18"/>
      <c r="Z85" s="18"/>
      <c r="AA85" s="18"/>
      <c r="AB85" s="18"/>
      <c r="AC85" s="18"/>
    </row>
    <row r="86" hidden="1">
      <c r="A86" s="5" t="s">
        <v>206</v>
      </c>
      <c r="B86" s="5">
        <v>2011.0</v>
      </c>
      <c r="C86" s="5" t="s">
        <v>207</v>
      </c>
      <c r="D86" s="5" t="s">
        <v>714</v>
      </c>
      <c r="E86" s="5" t="s">
        <v>514</v>
      </c>
      <c r="F86" s="5" t="s">
        <v>474</v>
      </c>
      <c r="G86" s="5" t="s">
        <v>475</v>
      </c>
      <c r="H86" s="18"/>
      <c r="I86" s="18"/>
      <c r="J86" s="18"/>
      <c r="K86" s="18"/>
      <c r="L86" s="18"/>
      <c r="M86" s="18"/>
      <c r="N86" s="18"/>
      <c r="O86" s="18"/>
      <c r="P86" s="18"/>
      <c r="Q86" s="18"/>
      <c r="R86" s="18"/>
      <c r="S86" s="18"/>
      <c r="T86" s="18"/>
      <c r="U86" s="18"/>
      <c r="V86" s="18"/>
      <c r="W86" s="18"/>
      <c r="X86" s="18"/>
      <c r="Y86" s="18"/>
      <c r="Z86" s="18"/>
      <c r="AA86" s="18"/>
      <c r="AB86" s="18"/>
      <c r="AC86" s="18"/>
    </row>
    <row r="87" hidden="1">
      <c r="A87" s="5" t="s">
        <v>206</v>
      </c>
      <c r="B87" s="5">
        <v>2011.0</v>
      </c>
      <c r="C87" s="5" t="s">
        <v>207</v>
      </c>
      <c r="D87" s="5" t="s">
        <v>715</v>
      </c>
      <c r="E87" s="5" t="s">
        <v>514</v>
      </c>
      <c r="F87" s="5" t="s">
        <v>481</v>
      </c>
      <c r="G87" s="5" t="s">
        <v>475</v>
      </c>
      <c r="H87" s="18"/>
      <c r="I87" s="18"/>
      <c r="J87" s="18"/>
      <c r="K87" s="18"/>
      <c r="L87" s="18"/>
      <c r="M87" s="18"/>
      <c r="N87" s="18"/>
      <c r="O87" s="18"/>
      <c r="P87" s="18"/>
      <c r="Q87" s="18"/>
      <c r="R87" s="18"/>
      <c r="S87" s="18"/>
      <c r="T87" s="18"/>
      <c r="U87" s="18"/>
      <c r="V87" s="18"/>
      <c r="W87" s="18"/>
      <c r="X87" s="18"/>
      <c r="Y87" s="18"/>
      <c r="Z87" s="18"/>
      <c r="AA87" s="18"/>
      <c r="AB87" s="18"/>
      <c r="AC87" s="18"/>
    </row>
    <row r="88" hidden="1">
      <c r="A88" s="5" t="s">
        <v>206</v>
      </c>
      <c r="B88" s="5">
        <v>2011.0</v>
      </c>
      <c r="C88" s="5" t="s">
        <v>207</v>
      </c>
      <c r="D88" s="5" t="s">
        <v>716</v>
      </c>
      <c r="E88" s="5" t="s">
        <v>514</v>
      </c>
      <c r="F88" s="5" t="s">
        <v>481</v>
      </c>
      <c r="G88" s="5" t="s">
        <v>475</v>
      </c>
      <c r="H88" s="18"/>
      <c r="I88" s="18"/>
      <c r="J88" s="18"/>
      <c r="K88" s="18"/>
      <c r="L88" s="18"/>
      <c r="M88" s="18"/>
      <c r="N88" s="18"/>
      <c r="O88" s="18"/>
      <c r="P88" s="18"/>
      <c r="Q88" s="18"/>
      <c r="R88" s="18"/>
      <c r="S88" s="18"/>
      <c r="T88" s="18"/>
      <c r="U88" s="18"/>
      <c r="V88" s="18"/>
      <c r="W88" s="18"/>
      <c r="X88" s="18"/>
      <c r="Y88" s="18"/>
      <c r="Z88" s="18"/>
      <c r="AA88" s="18"/>
      <c r="AB88" s="18"/>
      <c r="AC88" s="18"/>
    </row>
    <row r="89" hidden="1">
      <c r="A89" s="5" t="s">
        <v>206</v>
      </c>
      <c r="B89" s="5">
        <v>2011.0</v>
      </c>
      <c r="C89" s="5" t="s">
        <v>207</v>
      </c>
      <c r="D89" s="5" t="s">
        <v>717</v>
      </c>
      <c r="E89" s="5" t="s">
        <v>514</v>
      </c>
      <c r="F89" s="5" t="s">
        <v>481</v>
      </c>
      <c r="G89" s="5" t="s">
        <v>475</v>
      </c>
      <c r="H89" s="18"/>
      <c r="I89" s="18"/>
      <c r="J89" s="18"/>
      <c r="K89" s="18"/>
      <c r="L89" s="18"/>
      <c r="M89" s="18"/>
      <c r="N89" s="18"/>
      <c r="O89" s="18"/>
      <c r="P89" s="18"/>
      <c r="Q89" s="18"/>
      <c r="R89" s="18"/>
      <c r="S89" s="18"/>
      <c r="T89" s="18"/>
      <c r="U89" s="18"/>
      <c r="V89" s="18"/>
      <c r="W89" s="18"/>
      <c r="X89" s="18"/>
      <c r="Y89" s="18"/>
      <c r="Z89" s="18"/>
      <c r="AA89" s="18"/>
      <c r="AB89" s="18"/>
      <c r="AC89" s="18"/>
    </row>
    <row r="90" hidden="1">
      <c r="A90" s="5" t="s">
        <v>206</v>
      </c>
      <c r="B90" s="5">
        <v>2011.0</v>
      </c>
      <c r="C90" s="5" t="s">
        <v>207</v>
      </c>
      <c r="D90" s="5" t="s">
        <v>718</v>
      </c>
      <c r="E90" s="5" t="s">
        <v>514</v>
      </c>
      <c r="F90" s="5" t="s">
        <v>481</v>
      </c>
      <c r="G90" s="5" t="s">
        <v>475</v>
      </c>
      <c r="H90" s="18"/>
      <c r="I90" s="18"/>
      <c r="J90" s="18"/>
      <c r="K90" s="18"/>
      <c r="L90" s="18"/>
      <c r="M90" s="18"/>
      <c r="N90" s="18"/>
      <c r="O90" s="18"/>
      <c r="P90" s="18"/>
      <c r="Q90" s="18"/>
      <c r="R90" s="18"/>
      <c r="S90" s="18"/>
      <c r="T90" s="18"/>
      <c r="U90" s="18"/>
      <c r="V90" s="18"/>
      <c r="W90" s="18"/>
      <c r="X90" s="18"/>
      <c r="Y90" s="18"/>
      <c r="Z90" s="18"/>
      <c r="AA90" s="18"/>
      <c r="AB90" s="18"/>
      <c r="AC90" s="18"/>
    </row>
    <row r="91" hidden="1">
      <c r="A91" s="5" t="s">
        <v>206</v>
      </c>
      <c r="B91" s="5">
        <v>2011.0</v>
      </c>
      <c r="C91" s="5" t="s">
        <v>207</v>
      </c>
      <c r="D91" s="5" t="s">
        <v>719</v>
      </c>
      <c r="E91" s="5" t="s">
        <v>514</v>
      </c>
      <c r="F91" s="5" t="s">
        <v>481</v>
      </c>
      <c r="G91" s="5" t="s">
        <v>475</v>
      </c>
      <c r="H91" s="18"/>
      <c r="I91" s="18"/>
      <c r="J91" s="18"/>
      <c r="K91" s="18"/>
      <c r="L91" s="18"/>
      <c r="M91" s="18"/>
      <c r="N91" s="18"/>
      <c r="O91" s="18"/>
      <c r="P91" s="18"/>
      <c r="Q91" s="18"/>
      <c r="R91" s="18"/>
      <c r="S91" s="18"/>
      <c r="T91" s="18"/>
      <c r="U91" s="18"/>
      <c r="V91" s="18"/>
      <c r="W91" s="18"/>
      <c r="X91" s="18"/>
      <c r="Y91" s="18"/>
      <c r="Z91" s="18"/>
      <c r="AA91" s="18"/>
      <c r="AB91" s="18"/>
      <c r="AC91" s="18"/>
    </row>
    <row r="92" hidden="1">
      <c r="A92" s="5" t="s">
        <v>206</v>
      </c>
      <c r="B92" s="5">
        <v>2011.0</v>
      </c>
      <c r="C92" s="5" t="s">
        <v>207</v>
      </c>
      <c r="D92" s="5" t="s">
        <v>720</v>
      </c>
      <c r="E92" s="5" t="s">
        <v>514</v>
      </c>
      <c r="F92" s="5" t="s">
        <v>481</v>
      </c>
      <c r="G92" s="5" t="s">
        <v>475</v>
      </c>
      <c r="H92" s="18"/>
      <c r="I92" s="18"/>
      <c r="J92" s="18"/>
      <c r="K92" s="18"/>
      <c r="L92" s="18"/>
      <c r="M92" s="18"/>
      <c r="N92" s="18"/>
      <c r="O92" s="18"/>
      <c r="P92" s="18"/>
      <c r="Q92" s="18"/>
      <c r="R92" s="18"/>
      <c r="S92" s="18"/>
      <c r="T92" s="18"/>
      <c r="U92" s="18"/>
      <c r="V92" s="18"/>
      <c r="W92" s="18"/>
      <c r="X92" s="18"/>
      <c r="Y92" s="18"/>
      <c r="Z92" s="18"/>
      <c r="AA92" s="18"/>
      <c r="AB92" s="18"/>
      <c r="AC92" s="18"/>
    </row>
    <row r="93" hidden="1">
      <c r="A93" s="5" t="s">
        <v>206</v>
      </c>
      <c r="B93" s="5">
        <v>2011.0</v>
      </c>
      <c r="C93" s="5" t="s">
        <v>207</v>
      </c>
      <c r="D93" s="5" t="s">
        <v>721</v>
      </c>
      <c r="E93" s="5" t="s">
        <v>514</v>
      </c>
      <c r="F93" s="5" t="s">
        <v>481</v>
      </c>
      <c r="G93" s="5" t="s">
        <v>475</v>
      </c>
      <c r="H93" s="18"/>
      <c r="I93" s="18"/>
      <c r="J93" s="18"/>
      <c r="K93" s="18"/>
      <c r="L93" s="18"/>
      <c r="M93" s="18"/>
      <c r="N93" s="18"/>
      <c r="O93" s="18"/>
      <c r="P93" s="18"/>
      <c r="Q93" s="18"/>
      <c r="R93" s="18"/>
      <c r="S93" s="18"/>
      <c r="T93" s="18"/>
      <c r="U93" s="18"/>
      <c r="V93" s="18"/>
      <c r="W93" s="18"/>
      <c r="X93" s="18"/>
      <c r="Y93" s="18"/>
      <c r="Z93" s="18"/>
      <c r="AA93" s="18"/>
      <c r="AB93" s="18"/>
      <c r="AC93" s="18"/>
    </row>
    <row r="94" hidden="1">
      <c r="A94" s="5" t="s">
        <v>206</v>
      </c>
      <c r="B94" s="5">
        <v>2011.0</v>
      </c>
      <c r="C94" s="5" t="s">
        <v>207</v>
      </c>
      <c r="D94" s="5" t="s">
        <v>722</v>
      </c>
      <c r="E94" s="5" t="s">
        <v>514</v>
      </c>
      <c r="F94" s="5" t="s">
        <v>474</v>
      </c>
      <c r="G94" s="5" t="s">
        <v>475</v>
      </c>
      <c r="H94" s="18"/>
      <c r="I94" s="18"/>
      <c r="J94" s="18"/>
      <c r="K94" s="18"/>
      <c r="L94" s="18"/>
      <c r="M94" s="18"/>
      <c r="N94" s="18"/>
      <c r="O94" s="18"/>
      <c r="P94" s="18"/>
      <c r="Q94" s="18"/>
      <c r="R94" s="18"/>
      <c r="S94" s="18"/>
      <c r="T94" s="18"/>
      <c r="U94" s="18"/>
      <c r="V94" s="18"/>
      <c r="W94" s="18"/>
      <c r="X94" s="18"/>
      <c r="Y94" s="18"/>
      <c r="Z94" s="18"/>
      <c r="AA94" s="18"/>
      <c r="AB94" s="18"/>
      <c r="AC94" s="18"/>
    </row>
    <row r="95" hidden="1">
      <c r="A95" s="8" t="s">
        <v>218</v>
      </c>
      <c r="B95" s="8">
        <v>2017.0</v>
      </c>
      <c r="C95" s="9" t="s">
        <v>264</v>
      </c>
      <c r="D95" s="5" t="s">
        <v>723</v>
      </c>
      <c r="E95" s="6"/>
      <c r="F95" s="6"/>
      <c r="G95" s="5" t="s">
        <v>475</v>
      </c>
      <c r="H95" s="18"/>
      <c r="I95" s="18"/>
      <c r="J95" s="18"/>
      <c r="K95" s="18"/>
      <c r="L95" s="18"/>
      <c r="M95" s="18"/>
      <c r="N95" s="18"/>
      <c r="O95" s="18"/>
      <c r="P95" s="18"/>
      <c r="Q95" s="18"/>
      <c r="R95" s="18"/>
      <c r="S95" s="18"/>
      <c r="T95" s="18"/>
      <c r="U95" s="18"/>
      <c r="V95" s="18"/>
      <c r="W95" s="18"/>
      <c r="X95" s="18"/>
      <c r="Y95" s="18"/>
      <c r="Z95" s="18"/>
      <c r="AA95" s="18"/>
      <c r="AB95" s="18"/>
      <c r="AC95" s="18"/>
    </row>
    <row r="96" hidden="1">
      <c r="A96" s="8" t="s">
        <v>218</v>
      </c>
      <c r="B96" s="8">
        <v>2017.0</v>
      </c>
      <c r="C96" s="9" t="s">
        <v>264</v>
      </c>
      <c r="D96" s="5" t="s">
        <v>724</v>
      </c>
      <c r="E96" s="6"/>
      <c r="F96" s="6"/>
      <c r="G96" s="5" t="s">
        <v>475</v>
      </c>
      <c r="H96" s="18"/>
      <c r="I96" s="18"/>
      <c r="J96" s="18"/>
      <c r="K96" s="18"/>
      <c r="L96" s="18"/>
      <c r="M96" s="18"/>
      <c r="N96" s="18"/>
      <c r="O96" s="18"/>
      <c r="P96" s="18"/>
      <c r="Q96" s="18"/>
      <c r="R96" s="18"/>
      <c r="S96" s="18"/>
      <c r="T96" s="18"/>
      <c r="U96" s="18"/>
      <c r="V96" s="18"/>
      <c r="W96" s="18"/>
      <c r="X96" s="18"/>
      <c r="Y96" s="18"/>
      <c r="Z96" s="18"/>
      <c r="AA96" s="18"/>
      <c r="AB96" s="18"/>
      <c r="AC96" s="18"/>
    </row>
    <row r="97" hidden="1">
      <c r="A97" s="8" t="s">
        <v>218</v>
      </c>
      <c r="B97" s="8">
        <v>2017.0</v>
      </c>
      <c r="C97" s="9" t="s">
        <v>264</v>
      </c>
      <c r="D97" s="5" t="s">
        <v>725</v>
      </c>
      <c r="E97" s="6"/>
      <c r="F97" s="6"/>
      <c r="G97" s="5" t="s">
        <v>475</v>
      </c>
      <c r="H97" s="18"/>
      <c r="I97" s="18"/>
      <c r="J97" s="18"/>
      <c r="K97" s="18"/>
      <c r="L97" s="18"/>
      <c r="M97" s="18"/>
      <c r="N97" s="18"/>
      <c r="O97" s="18"/>
      <c r="P97" s="18"/>
      <c r="Q97" s="18"/>
      <c r="R97" s="18"/>
      <c r="S97" s="18"/>
      <c r="T97" s="18"/>
      <c r="U97" s="18"/>
      <c r="V97" s="18"/>
      <c r="W97" s="18"/>
      <c r="X97" s="18"/>
      <c r="Y97" s="18"/>
      <c r="Z97" s="18"/>
      <c r="AA97" s="18"/>
      <c r="AB97" s="18"/>
      <c r="AC97" s="18"/>
    </row>
    <row r="98" hidden="1">
      <c r="A98" s="8" t="s">
        <v>218</v>
      </c>
      <c r="B98" s="8">
        <v>2017.0</v>
      </c>
      <c r="C98" s="9" t="s">
        <v>264</v>
      </c>
      <c r="D98" s="5" t="s">
        <v>726</v>
      </c>
      <c r="E98" s="6"/>
      <c r="F98" s="6"/>
      <c r="G98" s="5" t="s">
        <v>475</v>
      </c>
      <c r="H98" s="18"/>
      <c r="I98" s="18"/>
      <c r="J98" s="18"/>
      <c r="K98" s="18"/>
      <c r="L98" s="18"/>
      <c r="M98" s="18"/>
      <c r="N98" s="18"/>
      <c r="O98" s="18"/>
      <c r="P98" s="18"/>
      <c r="Q98" s="18"/>
      <c r="R98" s="18"/>
      <c r="S98" s="18"/>
      <c r="T98" s="18"/>
      <c r="U98" s="18"/>
      <c r="V98" s="18"/>
      <c r="W98" s="18"/>
      <c r="X98" s="18"/>
      <c r="Y98" s="18"/>
      <c r="Z98" s="18"/>
      <c r="AA98" s="18"/>
      <c r="AB98" s="18"/>
      <c r="AC98" s="18"/>
    </row>
    <row r="99" hidden="1">
      <c r="A99" s="8" t="s">
        <v>218</v>
      </c>
      <c r="B99" s="8">
        <v>2017.0</v>
      </c>
      <c r="C99" s="9" t="s">
        <v>264</v>
      </c>
      <c r="D99" s="5" t="s">
        <v>727</v>
      </c>
      <c r="E99" s="6"/>
      <c r="F99" s="6"/>
      <c r="G99" s="5" t="s">
        <v>475</v>
      </c>
      <c r="H99" s="18"/>
      <c r="I99" s="18"/>
      <c r="J99" s="18"/>
      <c r="K99" s="18"/>
      <c r="L99" s="18"/>
      <c r="M99" s="18"/>
      <c r="N99" s="18"/>
      <c r="O99" s="18"/>
      <c r="P99" s="18"/>
      <c r="Q99" s="18"/>
      <c r="R99" s="18"/>
      <c r="S99" s="18"/>
      <c r="T99" s="18"/>
      <c r="U99" s="18"/>
      <c r="V99" s="18"/>
      <c r="W99" s="18"/>
      <c r="X99" s="18"/>
      <c r="Y99" s="18"/>
      <c r="Z99" s="18"/>
      <c r="AA99" s="18"/>
      <c r="AB99" s="18"/>
      <c r="AC99" s="18"/>
    </row>
    <row r="100" hidden="1">
      <c r="A100" s="8" t="s">
        <v>218</v>
      </c>
      <c r="B100" s="8">
        <v>2017.0</v>
      </c>
      <c r="C100" s="9" t="s">
        <v>264</v>
      </c>
      <c r="D100" s="5" t="s">
        <v>728</v>
      </c>
      <c r="E100" s="6"/>
      <c r="F100" s="6"/>
      <c r="G100" s="5" t="s">
        <v>475</v>
      </c>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hidden="1">
      <c r="A101" s="8" t="s">
        <v>218</v>
      </c>
      <c r="B101" s="8">
        <v>2017.0</v>
      </c>
      <c r="C101" s="9" t="s">
        <v>264</v>
      </c>
      <c r="D101" s="5" t="s">
        <v>729</v>
      </c>
      <c r="E101" s="6"/>
      <c r="F101" s="6"/>
      <c r="G101" s="5" t="s">
        <v>475</v>
      </c>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hidden="1">
      <c r="A102" s="8" t="s">
        <v>218</v>
      </c>
      <c r="B102" s="8">
        <v>2017.0</v>
      </c>
      <c r="C102" s="9" t="s">
        <v>264</v>
      </c>
      <c r="D102" s="5" t="s">
        <v>730</v>
      </c>
      <c r="E102" s="6"/>
      <c r="F102" s="6"/>
      <c r="G102" s="5" t="s">
        <v>475</v>
      </c>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hidden="1">
      <c r="A103" s="8" t="s">
        <v>218</v>
      </c>
      <c r="B103" s="8">
        <v>2017.0</v>
      </c>
      <c r="C103" s="9" t="s">
        <v>264</v>
      </c>
      <c r="D103" s="5" t="s">
        <v>731</v>
      </c>
      <c r="E103" s="6"/>
      <c r="F103" s="6"/>
      <c r="G103" s="5" t="s">
        <v>475</v>
      </c>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hidden="1">
      <c r="A104" s="8" t="s">
        <v>218</v>
      </c>
      <c r="B104" s="8">
        <v>2017.0</v>
      </c>
      <c r="C104" s="9" t="s">
        <v>264</v>
      </c>
      <c r="D104" s="5" t="s">
        <v>732</v>
      </c>
      <c r="E104" s="6"/>
      <c r="F104" s="6"/>
      <c r="G104" s="5" t="s">
        <v>475</v>
      </c>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hidden="1">
      <c r="A105" s="8" t="s">
        <v>218</v>
      </c>
      <c r="B105" s="8">
        <v>2017.0</v>
      </c>
      <c r="C105" s="9" t="s">
        <v>264</v>
      </c>
      <c r="D105" s="5" t="s">
        <v>733</v>
      </c>
      <c r="E105" s="6"/>
      <c r="F105" s="6"/>
      <c r="G105" s="5" t="s">
        <v>475</v>
      </c>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hidden="1">
      <c r="A106" s="8" t="s">
        <v>218</v>
      </c>
      <c r="B106" s="8">
        <v>2017.0</v>
      </c>
      <c r="C106" s="9" t="s">
        <v>264</v>
      </c>
      <c r="D106" s="5" t="s">
        <v>734</v>
      </c>
      <c r="E106" s="6"/>
      <c r="F106" s="6"/>
      <c r="G106" s="5" t="s">
        <v>475</v>
      </c>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hidden="1">
      <c r="A107" s="7" t="s">
        <v>218</v>
      </c>
      <c r="B107" s="7">
        <v>2017.0</v>
      </c>
      <c r="C107" s="7" t="s">
        <v>264</v>
      </c>
      <c r="D107" s="5" t="s">
        <v>735</v>
      </c>
      <c r="E107" s="6"/>
      <c r="F107" s="6"/>
      <c r="G107" s="5" t="s">
        <v>475</v>
      </c>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hidden="1">
      <c r="A108" s="7" t="s">
        <v>218</v>
      </c>
      <c r="B108" s="7">
        <v>2017.0</v>
      </c>
      <c r="C108" s="7" t="s">
        <v>264</v>
      </c>
      <c r="D108" s="5" t="s">
        <v>736</v>
      </c>
      <c r="E108" s="6"/>
      <c r="F108" s="6"/>
      <c r="G108" s="5" t="s">
        <v>475</v>
      </c>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hidden="1">
      <c r="A109" s="7" t="s">
        <v>218</v>
      </c>
      <c r="B109" s="7">
        <v>2017.0</v>
      </c>
      <c r="C109" s="7" t="s">
        <v>264</v>
      </c>
      <c r="D109" s="5" t="s">
        <v>737</v>
      </c>
      <c r="E109" s="6"/>
      <c r="F109" s="6"/>
      <c r="G109" s="5" t="s">
        <v>475</v>
      </c>
      <c r="H109" s="18"/>
      <c r="I109" s="18"/>
      <c r="J109" s="18"/>
      <c r="K109" s="18"/>
      <c r="L109" s="18"/>
      <c r="M109" s="18"/>
      <c r="N109" s="18"/>
      <c r="O109" s="18"/>
      <c r="P109" s="18"/>
      <c r="Q109" s="18"/>
      <c r="R109" s="18"/>
      <c r="S109" s="18"/>
      <c r="T109" s="18"/>
      <c r="U109" s="18"/>
      <c r="V109" s="18"/>
      <c r="W109" s="18"/>
      <c r="X109" s="18"/>
      <c r="Y109" s="18"/>
      <c r="Z109" s="18"/>
      <c r="AA109" s="18"/>
      <c r="AB109" s="18"/>
      <c r="AC109" s="18"/>
    </row>
    <row r="110" hidden="1">
      <c r="A110" s="7" t="s">
        <v>218</v>
      </c>
      <c r="B110" s="7">
        <v>2017.0</v>
      </c>
      <c r="C110" s="7" t="s">
        <v>264</v>
      </c>
      <c r="D110" s="5" t="s">
        <v>738</v>
      </c>
      <c r="E110" s="6"/>
      <c r="F110" s="6"/>
      <c r="G110" s="5" t="s">
        <v>488</v>
      </c>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hidden="1">
      <c r="A111" s="7" t="s">
        <v>218</v>
      </c>
      <c r="B111" s="7">
        <v>2017.0</v>
      </c>
      <c r="C111" s="7" t="s">
        <v>264</v>
      </c>
      <c r="D111" s="5" t="s">
        <v>739</v>
      </c>
      <c r="E111" s="6"/>
      <c r="F111" s="6"/>
      <c r="G111" s="5" t="s">
        <v>475</v>
      </c>
      <c r="H111" s="18"/>
      <c r="I111" s="18"/>
      <c r="J111" s="18"/>
      <c r="K111" s="18"/>
      <c r="L111" s="18"/>
      <c r="M111" s="18"/>
      <c r="N111" s="18"/>
      <c r="O111" s="18"/>
      <c r="P111" s="18"/>
      <c r="Q111" s="18"/>
      <c r="R111" s="18"/>
      <c r="S111" s="18"/>
      <c r="T111" s="18"/>
      <c r="U111" s="18"/>
      <c r="V111" s="18"/>
      <c r="W111" s="18"/>
      <c r="X111" s="18"/>
      <c r="Y111" s="18"/>
      <c r="Z111" s="18"/>
      <c r="AA111" s="18"/>
      <c r="AB111" s="18"/>
      <c r="AC111" s="18"/>
    </row>
    <row r="112" hidden="1">
      <c r="A112" s="20" t="s">
        <v>62</v>
      </c>
      <c r="B112" s="20">
        <v>2022.0</v>
      </c>
      <c r="C112" s="20" t="s">
        <v>221</v>
      </c>
      <c r="D112" s="20" t="s">
        <v>740</v>
      </c>
      <c r="E112" s="20" t="s">
        <v>473</v>
      </c>
      <c r="F112" s="20" t="s">
        <v>474</v>
      </c>
      <c r="G112" s="20" t="s">
        <v>475</v>
      </c>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hidden="1">
      <c r="A113" s="20" t="s">
        <v>62</v>
      </c>
      <c r="B113" s="20">
        <v>2022.0</v>
      </c>
      <c r="C113" s="20" t="s">
        <v>221</v>
      </c>
      <c r="D113" s="20" t="s">
        <v>741</v>
      </c>
      <c r="E113" s="20" t="s">
        <v>473</v>
      </c>
      <c r="F113" s="20" t="s">
        <v>481</v>
      </c>
      <c r="G113" s="20" t="s">
        <v>492</v>
      </c>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hidden="1">
      <c r="A114" s="20" t="s">
        <v>62</v>
      </c>
      <c r="B114" s="20">
        <v>2022.0</v>
      </c>
      <c r="C114" s="20" t="s">
        <v>221</v>
      </c>
      <c r="D114" s="20" t="s">
        <v>742</v>
      </c>
      <c r="E114" s="20" t="s">
        <v>473</v>
      </c>
      <c r="F114" s="20" t="s">
        <v>481</v>
      </c>
      <c r="G114" s="20" t="s">
        <v>475</v>
      </c>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hidden="1">
      <c r="A115" s="20" t="s">
        <v>62</v>
      </c>
      <c r="B115" s="20">
        <v>2022.0</v>
      </c>
      <c r="C115" s="20" t="s">
        <v>221</v>
      </c>
      <c r="D115" s="20" t="s">
        <v>743</v>
      </c>
      <c r="E115" s="20" t="s">
        <v>473</v>
      </c>
      <c r="F115" s="20" t="s">
        <v>481</v>
      </c>
      <c r="G115" s="20" t="s">
        <v>475</v>
      </c>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hidden="1">
      <c r="A116" s="20" t="s">
        <v>62</v>
      </c>
      <c r="B116" s="20">
        <v>2022.0</v>
      </c>
      <c r="C116" s="20" t="s">
        <v>221</v>
      </c>
      <c r="D116" s="20" t="s">
        <v>744</v>
      </c>
      <c r="E116" s="20" t="s">
        <v>473</v>
      </c>
      <c r="F116" s="20" t="s">
        <v>474</v>
      </c>
      <c r="G116" s="20" t="s">
        <v>475</v>
      </c>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hidden="1">
      <c r="A117" s="20" t="s">
        <v>62</v>
      </c>
      <c r="B117" s="20">
        <v>2022.0</v>
      </c>
      <c r="C117" s="20" t="s">
        <v>221</v>
      </c>
      <c r="D117" s="20" t="s">
        <v>745</v>
      </c>
      <c r="E117" s="20" t="s">
        <v>473</v>
      </c>
      <c r="F117" s="20" t="s">
        <v>481</v>
      </c>
      <c r="G117" s="20" t="s">
        <v>492</v>
      </c>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hidden="1">
      <c r="A118" s="20" t="s">
        <v>62</v>
      </c>
      <c r="B118" s="20">
        <v>2022.0</v>
      </c>
      <c r="C118" s="20" t="s">
        <v>221</v>
      </c>
      <c r="D118" s="20" t="s">
        <v>746</v>
      </c>
      <c r="E118" s="20" t="s">
        <v>473</v>
      </c>
      <c r="F118" s="20" t="s">
        <v>474</v>
      </c>
      <c r="G118" s="20" t="s">
        <v>492</v>
      </c>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hidden="1">
      <c r="A119" s="20" t="s">
        <v>62</v>
      </c>
      <c r="B119" s="20">
        <v>2022.0</v>
      </c>
      <c r="C119" s="20" t="s">
        <v>221</v>
      </c>
      <c r="D119" s="20" t="s">
        <v>747</v>
      </c>
      <c r="E119" s="20" t="s">
        <v>473</v>
      </c>
      <c r="F119" s="20" t="s">
        <v>474</v>
      </c>
      <c r="G119" s="20" t="s">
        <v>475</v>
      </c>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hidden="1">
      <c r="A120" s="20" t="s">
        <v>62</v>
      </c>
      <c r="B120" s="20">
        <v>2022.0</v>
      </c>
      <c r="C120" s="20" t="s">
        <v>221</v>
      </c>
      <c r="D120" s="20" t="s">
        <v>748</v>
      </c>
      <c r="E120" s="20" t="s">
        <v>473</v>
      </c>
      <c r="F120" s="20" t="s">
        <v>481</v>
      </c>
      <c r="G120" s="20" t="s">
        <v>475</v>
      </c>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hidden="1">
      <c r="A121" s="20" t="s">
        <v>62</v>
      </c>
      <c r="B121" s="20">
        <v>2022.0</v>
      </c>
      <c r="C121" s="20" t="s">
        <v>221</v>
      </c>
      <c r="D121" s="20" t="s">
        <v>749</v>
      </c>
      <c r="E121" s="20" t="s">
        <v>473</v>
      </c>
      <c r="F121" s="20" t="s">
        <v>481</v>
      </c>
      <c r="G121" s="20" t="s">
        <v>475</v>
      </c>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hidden="1">
      <c r="A122" s="20" t="s">
        <v>62</v>
      </c>
      <c r="B122" s="20">
        <v>2022.0</v>
      </c>
      <c r="C122" s="20" t="s">
        <v>221</v>
      </c>
      <c r="D122" s="20" t="s">
        <v>750</v>
      </c>
      <c r="E122" s="20" t="s">
        <v>473</v>
      </c>
      <c r="F122" s="20" t="s">
        <v>481</v>
      </c>
      <c r="G122" s="20" t="s">
        <v>488</v>
      </c>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hidden="1">
      <c r="A123" s="20" t="s">
        <v>62</v>
      </c>
      <c r="B123" s="20">
        <v>2022.0</v>
      </c>
      <c r="C123" s="20" t="s">
        <v>221</v>
      </c>
      <c r="D123" s="20" t="s">
        <v>751</v>
      </c>
      <c r="E123" s="20" t="s">
        <v>473</v>
      </c>
      <c r="F123" s="20" t="s">
        <v>481</v>
      </c>
      <c r="G123" s="20" t="s">
        <v>488</v>
      </c>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hidden="1">
      <c r="A124" s="20" t="s">
        <v>62</v>
      </c>
      <c r="B124" s="20">
        <v>2022.0</v>
      </c>
      <c r="C124" s="20" t="s">
        <v>221</v>
      </c>
      <c r="D124" s="20" t="s">
        <v>752</v>
      </c>
      <c r="E124" s="20" t="s">
        <v>473</v>
      </c>
      <c r="F124" s="20" t="s">
        <v>474</v>
      </c>
      <c r="G124" s="20" t="s">
        <v>492</v>
      </c>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hidden="1">
      <c r="A125" s="20" t="s">
        <v>62</v>
      </c>
      <c r="B125" s="20">
        <v>2022.0</v>
      </c>
      <c r="C125" s="20" t="s">
        <v>221</v>
      </c>
      <c r="D125" s="20" t="s">
        <v>753</v>
      </c>
      <c r="E125" s="20" t="s">
        <v>473</v>
      </c>
      <c r="F125" s="20" t="s">
        <v>481</v>
      </c>
      <c r="G125" s="20" t="s">
        <v>492</v>
      </c>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hidden="1">
      <c r="A126" s="20" t="s">
        <v>62</v>
      </c>
      <c r="B126" s="20">
        <v>2022.0</v>
      </c>
      <c r="C126" s="20" t="s">
        <v>221</v>
      </c>
      <c r="D126" s="20" t="s">
        <v>754</v>
      </c>
      <c r="E126" s="20" t="s">
        <v>473</v>
      </c>
      <c r="F126" s="20" t="s">
        <v>481</v>
      </c>
      <c r="G126" s="20" t="s">
        <v>475</v>
      </c>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hidden="1">
      <c r="A127" s="20" t="s">
        <v>62</v>
      </c>
      <c r="B127" s="20">
        <v>2022.0</v>
      </c>
      <c r="C127" s="20" t="s">
        <v>221</v>
      </c>
      <c r="D127" s="20" t="s">
        <v>755</v>
      </c>
      <c r="E127" s="20" t="s">
        <v>473</v>
      </c>
      <c r="F127" s="20" t="s">
        <v>481</v>
      </c>
      <c r="G127" s="20" t="s">
        <v>475</v>
      </c>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hidden="1">
      <c r="A128" s="20" t="s">
        <v>62</v>
      </c>
      <c r="B128" s="20">
        <v>2022.0</v>
      </c>
      <c r="C128" s="20" t="s">
        <v>221</v>
      </c>
      <c r="D128" s="20" t="s">
        <v>756</v>
      </c>
      <c r="E128" s="20" t="s">
        <v>473</v>
      </c>
      <c r="F128" s="20" t="s">
        <v>481</v>
      </c>
      <c r="G128" s="20" t="s">
        <v>475</v>
      </c>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hidden="1">
      <c r="A129" s="20" t="s">
        <v>62</v>
      </c>
      <c r="B129" s="20">
        <v>2022.0</v>
      </c>
      <c r="C129" s="20" t="s">
        <v>221</v>
      </c>
      <c r="D129" s="20" t="s">
        <v>757</v>
      </c>
      <c r="E129" s="20" t="s">
        <v>473</v>
      </c>
      <c r="F129" s="20" t="s">
        <v>481</v>
      </c>
      <c r="G129" s="20" t="s">
        <v>475</v>
      </c>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hidden="1">
      <c r="A130" s="20" t="s">
        <v>62</v>
      </c>
      <c r="B130" s="20">
        <v>2022.0</v>
      </c>
      <c r="C130" s="20" t="s">
        <v>221</v>
      </c>
      <c r="D130" s="20" t="s">
        <v>758</v>
      </c>
      <c r="E130" s="20" t="s">
        <v>473</v>
      </c>
      <c r="F130" s="20" t="s">
        <v>474</v>
      </c>
      <c r="G130" s="20" t="s">
        <v>475</v>
      </c>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hidden="1">
      <c r="A131" s="20" t="s">
        <v>62</v>
      </c>
      <c r="B131" s="20">
        <v>2022.0</v>
      </c>
      <c r="C131" s="20" t="s">
        <v>221</v>
      </c>
      <c r="D131" s="20" t="s">
        <v>759</v>
      </c>
      <c r="E131" s="20" t="s">
        <v>473</v>
      </c>
      <c r="F131" s="20" t="s">
        <v>481</v>
      </c>
      <c r="G131" s="20" t="s">
        <v>475</v>
      </c>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hidden="1">
      <c r="A132" s="20" t="s">
        <v>62</v>
      </c>
      <c r="B132" s="20">
        <v>2022.0</v>
      </c>
      <c r="C132" s="20" t="s">
        <v>221</v>
      </c>
      <c r="D132" s="20" t="s">
        <v>760</v>
      </c>
      <c r="E132" s="20" t="s">
        <v>473</v>
      </c>
      <c r="F132" s="20" t="s">
        <v>474</v>
      </c>
      <c r="G132" s="20" t="s">
        <v>492</v>
      </c>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hidden="1">
      <c r="A133" s="20" t="s">
        <v>62</v>
      </c>
      <c r="B133" s="20">
        <v>2022.0</v>
      </c>
      <c r="C133" s="20" t="s">
        <v>221</v>
      </c>
      <c r="D133" s="20" t="s">
        <v>761</v>
      </c>
      <c r="E133" s="20" t="s">
        <v>473</v>
      </c>
      <c r="F133" s="20" t="s">
        <v>481</v>
      </c>
      <c r="G133" s="20" t="s">
        <v>475</v>
      </c>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hidden="1">
      <c r="A134" s="20" t="s">
        <v>62</v>
      </c>
      <c r="B134" s="20">
        <v>2022.0</v>
      </c>
      <c r="C134" s="20" t="s">
        <v>221</v>
      </c>
      <c r="D134" s="20" t="s">
        <v>762</v>
      </c>
      <c r="E134" s="20" t="s">
        <v>473</v>
      </c>
      <c r="F134" s="20" t="s">
        <v>481</v>
      </c>
      <c r="G134" s="20" t="s">
        <v>492</v>
      </c>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hidden="1">
      <c r="A135" s="20" t="s">
        <v>62</v>
      </c>
      <c r="B135" s="20">
        <v>2022.0</v>
      </c>
      <c r="C135" s="20" t="s">
        <v>221</v>
      </c>
      <c r="D135" s="20" t="s">
        <v>763</v>
      </c>
      <c r="E135" s="20" t="s">
        <v>473</v>
      </c>
      <c r="F135" s="20" t="s">
        <v>481</v>
      </c>
      <c r="G135" s="20" t="s">
        <v>475</v>
      </c>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hidden="1">
      <c r="A136" s="20" t="s">
        <v>62</v>
      </c>
      <c r="B136" s="20">
        <v>2022.0</v>
      </c>
      <c r="C136" s="20" t="s">
        <v>221</v>
      </c>
      <c r="D136" s="20" t="s">
        <v>764</v>
      </c>
      <c r="E136" s="20" t="s">
        <v>473</v>
      </c>
      <c r="F136" s="20" t="s">
        <v>474</v>
      </c>
      <c r="G136" s="20" t="s">
        <v>475</v>
      </c>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hidden="1">
      <c r="A137" s="20" t="s">
        <v>62</v>
      </c>
      <c r="B137" s="20">
        <v>2022.0</v>
      </c>
      <c r="C137" s="20" t="s">
        <v>221</v>
      </c>
      <c r="D137" s="20" t="s">
        <v>765</v>
      </c>
      <c r="E137" s="20" t="s">
        <v>514</v>
      </c>
      <c r="F137" s="20" t="s">
        <v>481</v>
      </c>
      <c r="G137" s="20" t="s">
        <v>475</v>
      </c>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hidden="1">
      <c r="A138" s="20" t="s">
        <v>62</v>
      </c>
      <c r="B138" s="20">
        <v>2022.0</v>
      </c>
      <c r="C138" s="20" t="s">
        <v>221</v>
      </c>
      <c r="D138" s="20" t="s">
        <v>766</v>
      </c>
      <c r="E138" s="20" t="s">
        <v>514</v>
      </c>
      <c r="F138" s="20" t="s">
        <v>481</v>
      </c>
      <c r="G138" s="20" t="s">
        <v>475</v>
      </c>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hidden="1">
      <c r="A139" s="20" t="s">
        <v>62</v>
      </c>
      <c r="B139" s="20">
        <v>2022.0</v>
      </c>
      <c r="C139" s="20" t="s">
        <v>221</v>
      </c>
      <c r="D139" s="20" t="s">
        <v>767</v>
      </c>
      <c r="E139" s="20" t="s">
        <v>514</v>
      </c>
      <c r="F139" s="20" t="s">
        <v>481</v>
      </c>
      <c r="G139" s="20" t="s">
        <v>475</v>
      </c>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hidden="1">
      <c r="A140" s="20" t="s">
        <v>62</v>
      </c>
      <c r="B140" s="20">
        <v>2022.0</v>
      </c>
      <c r="C140" s="20" t="s">
        <v>221</v>
      </c>
      <c r="D140" s="20" t="s">
        <v>768</v>
      </c>
      <c r="E140" s="20" t="s">
        <v>514</v>
      </c>
      <c r="F140" s="20" t="s">
        <v>481</v>
      </c>
      <c r="G140" s="20" t="s">
        <v>475</v>
      </c>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hidden="1">
      <c r="A141" s="20" t="s">
        <v>62</v>
      </c>
      <c r="B141" s="20">
        <v>2022.0</v>
      </c>
      <c r="C141" s="20" t="s">
        <v>221</v>
      </c>
      <c r="D141" s="20" t="s">
        <v>769</v>
      </c>
      <c r="E141" s="20" t="s">
        <v>514</v>
      </c>
      <c r="F141" s="20" t="s">
        <v>481</v>
      </c>
      <c r="G141" s="20" t="s">
        <v>475</v>
      </c>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hidden="1">
      <c r="A142" s="20" t="s">
        <v>62</v>
      </c>
      <c r="B142" s="20">
        <v>2022.0</v>
      </c>
      <c r="C142" s="20" t="s">
        <v>221</v>
      </c>
      <c r="D142" s="20" t="s">
        <v>770</v>
      </c>
      <c r="E142" s="20" t="s">
        <v>514</v>
      </c>
      <c r="F142" s="20" t="s">
        <v>481</v>
      </c>
      <c r="G142" s="20" t="s">
        <v>475</v>
      </c>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hidden="1">
      <c r="A143" s="20" t="s">
        <v>62</v>
      </c>
      <c r="B143" s="20">
        <v>2022.0</v>
      </c>
      <c r="C143" s="20" t="s">
        <v>221</v>
      </c>
      <c r="D143" s="20" t="s">
        <v>771</v>
      </c>
      <c r="E143" s="20" t="s">
        <v>514</v>
      </c>
      <c r="F143" s="20" t="s">
        <v>481</v>
      </c>
      <c r="G143" s="20" t="s">
        <v>475</v>
      </c>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hidden="1">
      <c r="A144" s="20" t="s">
        <v>62</v>
      </c>
      <c r="B144" s="20">
        <v>2022.0</v>
      </c>
      <c r="C144" s="20" t="s">
        <v>221</v>
      </c>
      <c r="D144" s="20" t="s">
        <v>772</v>
      </c>
      <c r="E144" s="20" t="s">
        <v>514</v>
      </c>
      <c r="F144" s="20" t="s">
        <v>481</v>
      </c>
      <c r="G144" s="20" t="s">
        <v>475</v>
      </c>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hidden="1">
      <c r="A145" s="5" t="s">
        <v>62</v>
      </c>
      <c r="B145" s="5">
        <v>2022.0</v>
      </c>
      <c r="C145" s="5" t="s">
        <v>221</v>
      </c>
      <c r="D145" s="5" t="s">
        <v>773</v>
      </c>
      <c r="E145" s="5" t="s">
        <v>514</v>
      </c>
      <c r="F145" s="5" t="s">
        <v>481</v>
      </c>
      <c r="G145" s="5" t="s">
        <v>475</v>
      </c>
      <c r="H145" s="18"/>
      <c r="I145" s="18"/>
      <c r="J145" s="18"/>
      <c r="K145" s="18"/>
      <c r="L145" s="18"/>
      <c r="M145" s="18"/>
      <c r="N145" s="18"/>
      <c r="O145" s="18"/>
      <c r="P145" s="18"/>
      <c r="Q145" s="18"/>
      <c r="R145" s="18"/>
      <c r="S145" s="18"/>
      <c r="T145" s="18"/>
      <c r="U145" s="18"/>
      <c r="V145" s="18"/>
      <c r="W145" s="18"/>
      <c r="X145" s="18"/>
      <c r="Y145" s="18"/>
      <c r="Z145" s="18"/>
      <c r="AA145" s="18"/>
      <c r="AB145" s="18"/>
      <c r="AC145" s="18"/>
    </row>
    <row r="146" hidden="1">
      <c r="A146" s="5" t="s">
        <v>62</v>
      </c>
      <c r="B146" s="5">
        <v>2023.0</v>
      </c>
      <c r="C146" s="5" t="s">
        <v>774</v>
      </c>
      <c r="D146" s="5" t="s">
        <v>775</v>
      </c>
      <c r="E146" s="5" t="s">
        <v>473</v>
      </c>
      <c r="F146" s="5" t="s">
        <v>474</v>
      </c>
      <c r="G146" s="5" t="s">
        <v>475</v>
      </c>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hidden="1">
      <c r="A147" s="5" t="s">
        <v>62</v>
      </c>
      <c r="B147" s="5">
        <v>2023.0</v>
      </c>
      <c r="C147" s="5" t="s">
        <v>774</v>
      </c>
      <c r="D147" s="5" t="s">
        <v>776</v>
      </c>
      <c r="E147" s="5" t="s">
        <v>473</v>
      </c>
      <c r="F147" s="5" t="s">
        <v>474</v>
      </c>
      <c r="G147" s="5" t="s">
        <v>492</v>
      </c>
      <c r="H147" s="18"/>
      <c r="I147" s="18"/>
      <c r="J147" s="18"/>
      <c r="K147" s="18"/>
      <c r="L147" s="18"/>
      <c r="M147" s="18"/>
      <c r="N147" s="18"/>
      <c r="O147" s="18"/>
      <c r="P147" s="18"/>
      <c r="Q147" s="18"/>
      <c r="R147" s="18"/>
      <c r="S147" s="18"/>
      <c r="T147" s="18"/>
      <c r="U147" s="18"/>
      <c r="V147" s="18"/>
      <c r="W147" s="18"/>
      <c r="X147" s="18"/>
      <c r="Y147" s="18"/>
      <c r="Z147" s="18"/>
      <c r="AA147" s="18"/>
      <c r="AB147" s="18"/>
      <c r="AC147" s="18"/>
    </row>
    <row r="148" hidden="1">
      <c r="A148" s="5" t="s">
        <v>62</v>
      </c>
      <c r="B148" s="5">
        <v>2023.0</v>
      </c>
      <c r="C148" s="5" t="s">
        <v>774</v>
      </c>
      <c r="D148" s="5" t="s">
        <v>777</v>
      </c>
      <c r="E148" s="5" t="s">
        <v>473</v>
      </c>
      <c r="F148" s="5" t="s">
        <v>474</v>
      </c>
      <c r="G148" s="5" t="s">
        <v>492</v>
      </c>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hidden="1">
      <c r="A149" s="5" t="s">
        <v>62</v>
      </c>
      <c r="B149" s="5">
        <v>2023.0</v>
      </c>
      <c r="C149" s="5" t="s">
        <v>774</v>
      </c>
      <c r="D149" s="5" t="s">
        <v>778</v>
      </c>
      <c r="E149" s="5" t="s">
        <v>473</v>
      </c>
      <c r="F149" s="5" t="s">
        <v>474</v>
      </c>
      <c r="G149" s="5" t="s">
        <v>488</v>
      </c>
      <c r="H149" s="18"/>
      <c r="I149" s="18"/>
      <c r="J149" s="18"/>
      <c r="K149" s="18"/>
      <c r="L149" s="18"/>
      <c r="M149" s="18"/>
      <c r="N149" s="18"/>
      <c r="O149" s="18"/>
      <c r="P149" s="18"/>
      <c r="Q149" s="18"/>
      <c r="R149" s="18"/>
      <c r="S149" s="18"/>
      <c r="T149" s="18"/>
      <c r="U149" s="18"/>
      <c r="V149" s="18"/>
      <c r="W149" s="18"/>
      <c r="X149" s="18"/>
      <c r="Y149" s="18"/>
      <c r="Z149" s="18"/>
      <c r="AA149" s="18"/>
      <c r="AB149" s="18"/>
      <c r="AC149" s="18"/>
    </row>
    <row r="150" hidden="1">
      <c r="A150" s="5" t="s">
        <v>62</v>
      </c>
      <c r="B150" s="5">
        <v>2023.0</v>
      </c>
      <c r="C150" s="5" t="s">
        <v>774</v>
      </c>
      <c r="D150" s="5" t="s">
        <v>779</v>
      </c>
      <c r="E150" s="5" t="s">
        <v>514</v>
      </c>
      <c r="F150" s="5" t="s">
        <v>481</v>
      </c>
      <c r="G150" s="5" t="s">
        <v>475</v>
      </c>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hidden="1">
      <c r="A151" s="5" t="s">
        <v>62</v>
      </c>
      <c r="B151" s="5">
        <v>2023.0</v>
      </c>
      <c r="C151" s="5" t="s">
        <v>774</v>
      </c>
      <c r="D151" s="5" t="s">
        <v>780</v>
      </c>
      <c r="E151" s="5" t="s">
        <v>514</v>
      </c>
      <c r="F151" s="5" t="s">
        <v>481</v>
      </c>
      <c r="G151" s="5" t="s">
        <v>475</v>
      </c>
      <c r="H151" s="18"/>
      <c r="I151" s="18"/>
      <c r="J151" s="18"/>
      <c r="K151" s="18"/>
      <c r="L151" s="18"/>
      <c r="M151" s="18"/>
      <c r="N151" s="18"/>
      <c r="O151" s="18"/>
      <c r="P151" s="18"/>
      <c r="Q151" s="18"/>
      <c r="R151" s="18"/>
      <c r="S151" s="18"/>
      <c r="T151" s="18"/>
      <c r="U151" s="18"/>
      <c r="V151" s="18"/>
      <c r="W151" s="18"/>
      <c r="X151" s="18"/>
      <c r="Y151" s="18"/>
      <c r="Z151" s="18"/>
      <c r="AA151" s="18"/>
      <c r="AB151" s="18"/>
      <c r="AC151" s="18"/>
    </row>
    <row r="152" hidden="1">
      <c r="A152" s="5" t="s">
        <v>62</v>
      </c>
      <c r="B152" s="5">
        <v>2023.0</v>
      </c>
      <c r="C152" s="5" t="s">
        <v>774</v>
      </c>
      <c r="D152" s="5" t="s">
        <v>781</v>
      </c>
      <c r="E152" s="5" t="s">
        <v>514</v>
      </c>
      <c r="F152" s="5" t="s">
        <v>474</v>
      </c>
      <c r="G152" s="5" t="s">
        <v>475</v>
      </c>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hidden="1">
      <c r="A153" s="5" t="s">
        <v>62</v>
      </c>
      <c r="B153" s="5">
        <v>2023.0</v>
      </c>
      <c r="C153" s="5" t="s">
        <v>774</v>
      </c>
      <c r="D153" s="5" t="s">
        <v>782</v>
      </c>
      <c r="E153" s="5" t="s">
        <v>514</v>
      </c>
      <c r="F153" s="5" t="s">
        <v>481</v>
      </c>
      <c r="G153" s="5" t="s">
        <v>475</v>
      </c>
      <c r="H153" s="18"/>
      <c r="I153" s="18"/>
      <c r="J153" s="18"/>
      <c r="K153" s="18"/>
      <c r="L153" s="18"/>
      <c r="M153" s="18"/>
      <c r="N153" s="18"/>
      <c r="O153" s="18"/>
      <c r="P153" s="18"/>
      <c r="Q153" s="18"/>
      <c r="R153" s="18"/>
      <c r="S153" s="18"/>
      <c r="T153" s="18"/>
      <c r="U153" s="18"/>
      <c r="V153" s="18"/>
      <c r="W153" s="18"/>
      <c r="X153" s="18"/>
      <c r="Y153" s="18"/>
      <c r="Z153" s="18"/>
      <c r="AA153" s="18"/>
      <c r="AB153" s="18"/>
      <c r="AC153" s="18"/>
    </row>
    <row r="154" hidden="1">
      <c r="A154" s="5" t="s">
        <v>38</v>
      </c>
      <c r="B154" s="5">
        <v>2010.0</v>
      </c>
      <c r="C154" s="5" t="s">
        <v>449</v>
      </c>
      <c r="D154" s="5" t="s">
        <v>783</v>
      </c>
      <c r="E154" s="5" t="s">
        <v>514</v>
      </c>
      <c r="F154" s="5" t="s">
        <v>474</v>
      </c>
      <c r="G154" s="5" t="s">
        <v>475</v>
      </c>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hidden="1">
      <c r="A155" s="5" t="s">
        <v>38</v>
      </c>
      <c r="B155" s="5">
        <v>2010.0</v>
      </c>
      <c r="C155" s="5" t="s">
        <v>784</v>
      </c>
      <c r="D155" s="5" t="s">
        <v>785</v>
      </c>
      <c r="E155" s="5" t="s">
        <v>514</v>
      </c>
      <c r="F155" s="5" t="s">
        <v>481</v>
      </c>
      <c r="G155" s="5" t="s">
        <v>475</v>
      </c>
      <c r="H155" s="18"/>
      <c r="I155" s="18"/>
      <c r="J155" s="18"/>
      <c r="K155" s="18"/>
      <c r="L155" s="18"/>
      <c r="M155" s="18"/>
      <c r="N155" s="18"/>
      <c r="O155" s="18"/>
      <c r="P155" s="18"/>
      <c r="Q155" s="18"/>
      <c r="R155" s="18"/>
      <c r="S155" s="18"/>
      <c r="T155" s="18"/>
      <c r="U155" s="18"/>
      <c r="V155" s="18"/>
      <c r="W155" s="18"/>
      <c r="X155" s="18"/>
      <c r="Y155" s="18"/>
      <c r="Z155" s="18"/>
      <c r="AA155" s="18"/>
      <c r="AB155" s="18"/>
      <c r="AC155" s="18"/>
    </row>
    <row r="156" hidden="1">
      <c r="A156" s="5" t="s">
        <v>38</v>
      </c>
      <c r="B156" s="5">
        <v>2010.0</v>
      </c>
      <c r="C156" s="5" t="s">
        <v>786</v>
      </c>
      <c r="D156" s="5" t="s">
        <v>787</v>
      </c>
      <c r="E156" s="5" t="s">
        <v>514</v>
      </c>
      <c r="F156" s="5" t="s">
        <v>474</v>
      </c>
      <c r="G156" s="5" t="s">
        <v>475</v>
      </c>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hidden="1">
      <c r="A157" s="5" t="s">
        <v>38</v>
      </c>
      <c r="B157" s="5">
        <v>2010.0</v>
      </c>
      <c r="C157" s="5" t="s">
        <v>788</v>
      </c>
      <c r="D157" s="5" t="s">
        <v>789</v>
      </c>
      <c r="E157" s="5" t="s">
        <v>514</v>
      </c>
      <c r="F157" s="5" t="s">
        <v>481</v>
      </c>
      <c r="G157" s="5" t="s">
        <v>475</v>
      </c>
      <c r="H157" s="18"/>
      <c r="I157" s="18"/>
      <c r="J157" s="18"/>
      <c r="K157" s="18"/>
      <c r="L157" s="18"/>
      <c r="M157" s="18"/>
      <c r="N157" s="18"/>
      <c r="O157" s="18"/>
      <c r="P157" s="18"/>
      <c r="Q157" s="18"/>
      <c r="R157" s="18"/>
      <c r="S157" s="18"/>
      <c r="T157" s="18"/>
      <c r="U157" s="18"/>
      <c r="V157" s="18"/>
      <c r="W157" s="18"/>
      <c r="X157" s="18"/>
      <c r="Y157" s="18"/>
      <c r="Z157" s="18"/>
      <c r="AA157" s="18"/>
      <c r="AB157" s="18"/>
      <c r="AC157" s="18"/>
    </row>
    <row r="158" hidden="1">
      <c r="A158" s="5" t="s">
        <v>38</v>
      </c>
      <c r="B158" s="5">
        <v>2010.0</v>
      </c>
      <c r="C158" s="5" t="s">
        <v>790</v>
      </c>
      <c r="D158" s="5" t="s">
        <v>791</v>
      </c>
      <c r="E158" s="5" t="s">
        <v>514</v>
      </c>
      <c r="F158" s="5" t="s">
        <v>481</v>
      </c>
      <c r="G158" s="5" t="s">
        <v>475</v>
      </c>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hidden="1">
      <c r="A159" s="5" t="s">
        <v>38</v>
      </c>
      <c r="B159" s="5">
        <v>2010.0</v>
      </c>
      <c r="C159" s="5" t="s">
        <v>792</v>
      </c>
      <c r="D159" s="5" t="s">
        <v>793</v>
      </c>
      <c r="E159" s="5" t="s">
        <v>514</v>
      </c>
      <c r="F159" s="5" t="s">
        <v>474</v>
      </c>
      <c r="G159" s="5" t="s">
        <v>475</v>
      </c>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hidden="1">
      <c r="A160" s="5" t="s">
        <v>38</v>
      </c>
      <c r="B160" s="5">
        <v>2010.0</v>
      </c>
      <c r="C160" s="5" t="s">
        <v>794</v>
      </c>
      <c r="D160" s="5" t="s">
        <v>795</v>
      </c>
      <c r="E160" s="5" t="s">
        <v>514</v>
      </c>
      <c r="F160" s="5" t="s">
        <v>481</v>
      </c>
      <c r="G160" s="5" t="s">
        <v>475</v>
      </c>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hidden="1">
      <c r="A161" s="5" t="s">
        <v>38</v>
      </c>
      <c r="B161" s="5">
        <v>2010.0</v>
      </c>
      <c r="C161" s="5" t="s">
        <v>796</v>
      </c>
      <c r="D161" s="5" t="s">
        <v>797</v>
      </c>
      <c r="E161" s="5" t="s">
        <v>514</v>
      </c>
      <c r="F161" s="5" t="s">
        <v>474</v>
      </c>
      <c r="G161" s="5" t="s">
        <v>475</v>
      </c>
      <c r="H161" s="18"/>
      <c r="I161" s="18"/>
      <c r="J161" s="18"/>
      <c r="K161" s="18"/>
      <c r="L161" s="18"/>
      <c r="M161" s="18"/>
      <c r="N161" s="18"/>
      <c r="O161" s="18"/>
      <c r="P161" s="18"/>
      <c r="Q161" s="18"/>
      <c r="R161" s="18"/>
      <c r="S161" s="18"/>
      <c r="T161" s="18"/>
      <c r="U161" s="18"/>
      <c r="V161" s="18"/>
      <c r="W161" s="18"/>
      <c r="X161" s="18"/>
      <c r="Y161" s="18"/>
      <c r="Z161" s="18"/>
      <c r="AA161" s="18"/>
      <c r="AB161" s="18"/>
      <c r="AC161" s="18"/>
    </row>
    <row r="162" hidden="1">
      <c r="A162" s="5" t="s">
        <v>38</v>
      </c>
      <c r="B162" s="5">
        <v>2010.0</v>
      </c>
      <c r="C162" s="5" t="s">
        <v>798</v>
      </c>
      <c r="D162" s="5" t="s">
        <v>799</v>
      </c>
      <c r="E162" s="5" t="s">
        <v>514</v>
      </c>
      <c r="F162" s="5" t="s">
        <v>481</v>
      </c>
      <c r="G162" s="5" t="s">
        <v>475</v>
      </c>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hidden="1">
      <c r="A163" s="5" t="s">
        <v>38</v>
      </c>
      <c r="B163" s="5">
        <v>2010.0</v>
      </c>
      <c r="C163" s="5" t="s">
        <v>800</v>
      </c>
      <c r="D163" s="5" t="s">
        <v>801</v>
      </c>
      <c r="E163" s="5" t="s">
        <v>514</v>
      </c>
      <c r="F163" s="5" t="s">
        <v>481</v>
      </c>
      <c r="G163" s="5" t="s">
        <v>488</v>
      </c>
      <c r="H163" s="18"/>
      <c r="I163" s="18"/>
      <c r="J163" s="18"/>
      <c r="K163" s="18"/>
      <c r="L163" s="18"/>
      <c r="M163" s="18"/>
      <c r="N163" s="18"/>
      <c r="O163" s="18"/>
      <c r="P163" s="18"/>
      <c r="Q163" s="18"/>
      <c r="R163" s="18"/>
      <c r="S163" s="18"/>
      <c r="T163" s="18"/>
      <c r="U163" s="18"/>
      <c r="V163" s="18"/>
      <c r="W163" s="18"/>
      <c r="X163" s="18"/>
      <c r="Y163" s="18"/>
      <c r="Z163" s="18"/>
      <c r="AA163" s="18"/>
      <c r="AB163" s="18"/>
      <c r="AC163" s="18"/>
    </row>
    <row r="164" hidden="1">
      <c r="A164" s="5" t="s">
        <v>38</v>
      </c>
      <c r="B164" s="5">
        <v>2010.0</v>
      </c>
      <c r="C164" s="5" t="s">
        <v>802</v>
      </c>
      <c r="D164" s="5" t="s">
        <v>803</v>
      </c>
      <c r="E164" s="5" t="s">
        <v>514</v>
      </c>
      <c r="F164" s="5" t="s">
        <v>481</v>
      </c>
      <c r="G164" s="5" t="s">
        <v>475</v>
      </c>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hidden="1">
      <c r="A165" s="5" t="s">
        <v>38</v>
      </c>
      <c r="B165" s="5">
        <v>2010.0</v>
      </c>
      <c r="C165" s="5" t="s">
        <v>804</v>
      </c>
      <c r="D165" s="5" t="s">
        <v>805</v>
      </c>
      <c r="E165" s="5" t="s">
        <v>514</v>
      </c>
      <c r="F165" s="5" t="s">
        <v>481</v>
      </c>
      <c r="G165" s="5" t="s">
        <v>475</v>
      </c>
      <c r="H165" s="18"/>
      <c r="I165" s="18"/>
      <c r="J165" s="18"/>
      <c r="K165" s="18"/>
      <c r="L165" s="18"/>
      <c r="M165" s="18"/>
      <c r="N165" s="18"/>
      <c r="O165" s="18"/>
      <c r="P165" s="18"/>
      <c r="Q165" s="18"/>
      <c r="R165" s="18"/>
      <c r="S165" s="18"/>
      <c r="T165" s="18"/>
      <c r="U165" s="18"/>
      <c r="V165" s="18"/>
      <c r="W165" s="18"/>
      <c r="X165" s="18"/>
      <c r="Y165" s="18"/>
      <c r="Z165" s="18"/>
      <c r="AA165" s="18"/>
      <c r="AB165" s="18"/>
      <c r="AC165" s="18"/>
    </row>
    <row r="166" hidden="1">
      <c r="A166" s="5" t="s">
        <v>38</v>
      </c>
      <c r="B166" s="5">
        <v>2010.0</v>
      </c>
      <c r="C166" s="5" t="s">
        <v>806</v>
      </c>
      <c r="D166" s="5" t="s">
        <v>807</v>
      </c>
      <c r="E166" s="5" t="s">
        <v>514</v>
      </c>
      <c r="F166" s="5" t="s">
        <v>481</v>
      </c>
      <c r="G166" s="5" t="s">
        <v>475</v>
      </c>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hidden="1">
      <c r="A167" s="5" t="s">
        <v>38</v>
      </c>
      <c r="B167" s="5">
        <v>2010.0</v>
      </c>
      <c r="C167" s="5" t="s">
        <v>392</v>
      </c>
      <c r="D167" s="5" t="s">
        <v>808</v>
      </c>
      <c r="E167" s="5" t="s">
        <v>514</v>
      </c>
      <c r="F167" s="5" t="s">
        <v>481</v>
      </c>
      <c r="G167" s="5" t="s">
        <v>475</v>
      </c>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hidden="1">
      <c r="A168" s="5" t="s">
        <v>38</v>
      </c>
      <c r="B168" s="5">
        <v>2010.0</v>
      </c>
      <c r="C168" s="5" t="s">
        <v>809</v>
      </c>
      <c r="D168" s="5" t="s">
        <v>810</v>
      </c>
      <c r="E168" s="5" t="s">
        <v>514</v>
      </c>
      <c r="F168" s="5" t="s">
        <v>481</v>
      </c>
      <c r="G168" s="5" t="s">
        <v>475</v>
      </c>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hidden="1">
      <c r="A169" s="3" t="s">
        <v>29</v>
      </c>
      <c r="B169" s="3">
        <v>2024.0</v>
      </c>
      <c r="C169" s="7" t="s">
        <v>31</v>
      </c>
      <c r="D169" s="5" t="s">
        <v>811</v>
      </c>
      <c r="E169" s="5" t="s">
        <v>473</v>
      </c>
      <c r="F169" s="5" t="s">
        <v>474</v>
      </c>
      <c r="G169" s="19" t="s">
        <v>492</v>
      </c>
      <c r="H169" s="18"/>
      <c r="I169" s="18"/>
      <c r="J169" s="18"/>
      <c r="K169" s="18"/>
      <c r="L169" s="18"/>
      <c r="M169" s="18"/>
      <c r="N169" s="18"/>
      <c r="O169" s="18"/>
      <c r="P169" s="18"/>
      <c r="Q169" s="18"/>
      <c r="R169" s="18"/>
      <c r="S169" s="18"/>
      <c r="T169" s="18"/>
      <c r="U169" s="18"/>
      <c r="V169" s="18"/>
      <c r="W169" s="18"/>
      <c r="X169" s="18"/>
      <c r="Y169" s="18"/>
      <c r="Z169" s="18"/>
      <c r="AA169" s="18"/>
      <c r="AB169" s="18"/>
    </row>
    <row r="170" hidden="1">
      <c r="A170" s="3" t="s">
        <v>29</v>
      </c>
      <c r="B170" s="3">
        <v>2024.0</v>
      </c>
      <c r="C170" s="7" t="s">
        <v>31</v>
      </c>
      <c r="D170" s="5" t="s">
        <v>812</v>
      </c>
      <c r="E170" s="5" t="s">
        <v>473</v>
      </c>
      <c r="F170" s="5" t="s">
        <v>474</v>
      </c>
      <c r="G170" s="5" t="s">
        <v>475</v>
      </c>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hidden="1">
      <c r="A171" s="3" t="s">
        <v>29</v>
      </c>
      <c r="B171" s="3">
        <v>2024.0</v>
      </c>
      <c r="C171" s="7" t="s">
        <v>31</v>
      </c>
      <c r="D171" s="5" t="s">
        <v>813</v>
      </c>
      <c r="E171" s="5" t="s">
        <v>473</v>
      </c>
      <c r="F171" s="5" t="s">
        <v>481</v>
      </c>
      <c r="G171" s="5" t="s">
        <v>475</v>
      </c>
      <c r="H171" s="18"/>
      <c r="I171" s="18"/>
      <c r="J171" s="18"/>
      <c r="K171" s="18"/>
      <c r="L171" s="18"/>
      <c r="M171" s="18"/>
      <c r="N171" s="18"/>
      <c r="O171" s="18"/>
      <c r="P171" s="18"/>
      <c r="Q171" s="18"/>
      <c r="R171" s="18"/>
      <c r="S171" s="18"/>
      <c r="T171" s="18"/>
      <c r="U171" s="18"/>
      <c r="V171" s="18"/>
      <c r="W171" s="18"/>
      <c r="X171" s="18"/>
      <c r="Y171" s="18"/>
      <c r="Z171" s="18"/>
      <c r="AA171" s="18"/>
      <c r="AB171" s="18"/>
      <c r="AC171" s="18"/>
    </row>
    <row r="172" hidden="1">
      <c r="A172" s="3" t="s">
        <v>29</v>
      </c>
      <c r="B172" s="3">
        <v>2024.0</v>
      </c>
      <c r="C172" s="7" t="s">
        <v>31</v>
      </c>
      <c r="D172" s="5" t="s">
        <v>814</v>
      </c>
      <c r="E172" s="5" t="s">
        <v>473</v>
      </c>
      <c r="F172" s="5" t="s">
        <v>474</v>
      </c>
      <c r="G172" s="5" t="s">
        <v>475</v>
      </c>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hidden="1">
      <c r="A173" s="3" t="s">
        <v>29</v>
      </c>
      <c r="B173" s="3">
        <v>2024.0</v>
      </c>
      <c r="C173" s="7" t="s">
        <v>31</v>
      </c>
      <c r="D173" s="5" t="s">
        <v>815</v>
      </c>
      <c r="E173" s="5" t="s">
        <v>473</v>
      </c>
      <c r="F173" s="5" t="s">
        <v>474</v>
      </c>
      <c r="G173" s="5" t="s">
        <v>492</v>
      </c>
      <c r="H173" s="18"/>
      <c r="I173" s="18"/>
      <c r="J173" s="18"/>
      <c r="K173" s="18"/>
      <c r="L173" s="18"/>
      <c r="M173" s="18"/>
      <c r="N173" s="18"/>
      <c r="O173" s="18"/>
      <c r="P173" s="18"/>
      <c r="Q173" s="18"/>
      <c r="R173" s="18"/>
      <c r="S173" s="18"/>
      <c r="T173" s="18"/>
      <c r="U173" s="18"/>
      <c r="V173" s="18"/>
      <c r="W173" s="18"/>
      <c r="X173" s="18"/>
      <c r="Y173" s="18"/>
      <c r="Z173" s="18"/>
      <c r="AA173" s="18"/>
      <c r="AB173" s="18"/>
      <c r="AC173" s="18"/>
    </row>
    <row r="174" hidden="1">
      <c r="A174" s="3" t="s">
        <v>29</v>
      </c>
      <c r="B174" s="3">
        <v>2024.0</v>
      </c>
      <c r="C174" s="7" t="s">
        <v>31</v>
      </c>
      <c r="D174" s="5" t="s">
        <v>816</v>
      </c>
      <c r="E174" s="5" t="s">
        <v>473</v>
      </c>
      <c r="F174" s="5" t="s">
        <v>481</v>
      </c>
      <c r="G174" s="5" t="s">
        <v>475</v>
      </c>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hidden="1">
      <c r="A175" s="3" t="s">
        <v>29</v>
      </c>
      <c r="B175" s="3">
        <v>2024.0</v>
      </c>
      <c r="C175" s="7" t="s">
        <v>31</v>
      </c>
      <c r="D175" s="5" t="s">
        <v>817</v>
      </c>
      <c r="E175" s="5" t="s">
        <v>473</v>
      </c>
      <c r="F175" s="5" t="s">
        <v>481</v>
      </c>
      <c r="G175" s="5" t="s">
        <v>475</v>
      </c>
      <c r="H175" s="18"/>
      <c r="I175" s="18"/>
      <c r="J175" s="18"/>
      <c r="K175" s="18"/>
      <c r="L175" s="18"/>
      <c r="M175" s="18"/>
      <c r="N175" s="18"/>
      <c r="O175" s="18"/>
      <c r="P175" s="18"/>
      <c r="Q175" s="18"/>
      <c r="R175" s="18"/>
      <c r="S175" s="18"/>
      <c r="T175" s="18"/>
      <c r="U175" s="18"/>
      <c r="V175" s="18"/>
      <c r="W175" s="18"/>
      <c r="X175" s="18"/>
      <c r="Y175" s="18"/>
      <c r="Z175" s="18"/>
      <c r="AA175" s="18"/>
      <c r="AB175" s="18"/>
      <c r="AC175" s="18"/>
    </row>
    <row r="176" hidden="1">
      <c r="A176" s="3" t="s">
        <v>29</v>
      </c>
      <c r="B176" s="3">
        <v>2024.0</v>
      </c>
      <c r="C176" s="7" t="s">
        <v>31</v>
      </c>
      <c r="D176" s="5" t="s">
        <v>818</v>
      </c>
      <c r="E176" s="5" t="s">
        <v>473</v>
      </c>
      <c r="F176" s="5" t="s">
        <v>474</v>
      </c>
      <c r="G176" s="5" t="s">
        <v>492</v>
      </c>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hidden="1">
      <c r="A177" s="3" t="s">
        <v>29</v>
      </c>
      <c r="B177" s="3">
        <v>2024.0</v>
      </c>
      <c r="C177" s="7" t="s">
        <v>31</v>
      </c>
      <c r="D177" s="5" t="s">
        <v>819</v>
      </c>
      <c r="E177" s="5" t="s">
        <v>473</v>
      </c>
      <c r="F177" s="5" t="s">
        <v>474</v>
      </c>
      <c r="G177" s="5" t="s">
        <v>475</v>
      </c>
      <c r="H177" s="18"/>
      <c r="I177" s="18"/>
      <c r="J177" s="18"/>
      <c r="K177" s="18"/>
      <c r="L177" s="18"/>
      <c r="M177" s="18"/>
      <c r="N177" s="18"/>
      <c r="O177" s="18"/>
      <c r="P177" s="18"/>
      <c r="Q177" s="18"/>
      <c r="R177" s="18"/>
      <c r="S177" s="18"/>
      <c r="T177" s="18"/>
      <c r="U177" s="18"/>
      <c r="V177" s="18"/>
      <c r="W177" s="18"/>
      <c r="X177" s="18"/>
      <c r="Y177" s="18"/>
      <c r="Z177" s="18"/>
      <c r="AA177" s="18"/>
      <c r="AB177" s="18"/>
      <c r="AC177" s="18"/>
    </row>
    <row r="178" hidden="1">
      <c r="A178" s="3" t="s">
        <v>29</v>
      </c>
      <c r="B178" s="3">
        <v>2024.0</v>
      </c>
      <c r="C178" s="7" t="s">
        <v>31</v>
      </c>
      <c r="D178" s="5" t="s">
        <v>820</v>
      </c>
      <c r="E178" s="5" t="s">
        <v>473</v>
      </c>
      <c r="F178" s="5" t="s">
        <v>474</v>
      </c>
      <c r="G178" s="5" t="s">
        <v>492</v>
      </c>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hidden="1">
      <c r="A179" s="3" t="s">
        <v>29</v>
      </c>
      <c r="B179" s="3">
        <v>2024.0</v>
      </c>
      <c r="C179" s="7" t="s">
        <v>31</v>
      </c>
      <c r="D179" s="5" t="s">
        <v>821</v>
      </c>
      <c r="E179" s="5" t="s">
        <v>473</v>
      </c>
      <c r="F179" s="5" t="s">
        <v>481</v>
      </c>
      <c r="G179" s="5" t="s">
        <v>492</v>
      </c>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hidden="1">
      <c r="A180" s="3" t="s">
        <v>29</v>
      </c>
      <c r="B180" s="3">
        <v>2024.0</v>
      </c>
      <c r="C180" s="7" t="s">
        <v>31</v>
      </c>
      <c r="D180" s="5" t="s">
        <v>822</v>
      </c>
      <c r="E180" s="5" t="s">
        <v>473</v>
      </c>
      <c r="F180" s="5" t="s">
        <v>481</v>
      </c>
      <c r="G180" s="5" t="s">
        <v>492</v>
      </c>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hidden="1">
      <c r="A181" s="3" t="s">
        <v>29</v>
      </c>
      <c r="B181" s="3">
        <v>2024.0</v>
      </c>
      <c r="C181" s="7" t="s">
        <v>31</v>
      </c>
      <c r="D181" s="5" t="s">
        <v>823</v>
      </c>
      <c r="E181" s="5" t="s">
        <v>473</v>
      </c>
      <c r="F181" s="5" t="s">
        <v>474</v>
      </c>
      <c r="G181" s="5" t="s">
        <v>492</v>
      </c>
      <c r="H181" s="18"/>
      <c r="I181" s="18"/>
      <c r="J181" s="18"/>
      <c r="K181" s="18"/>
      <c r="L181" s="18"/>
      <c r="M181" s="18"/>
      <c r="N181" s="18"/>
      <c r="O181" s="18"/>
      <c r="P181" s="18"/>
      <c r="Q181" s="18"/>
      <c r="R181" s="18"/>
      <c r="S181" s="18"/>
      <c r="T181" s="18"/>
      <c r="U181" s="18"/>
      <c r="V181" s="18"/>
      <c r="W181" s="18"/>
      <c r="X181" s="18"/>
      <c r="Y181" s="18"/>
      <c r="Z181" s="18"/>
      <c r="AA181" s="18"/>
      <c r="AB181" s="18"/>
      <c r="AC181" s="18"/>
    </row>
    <row r="182" hidden="1">
      <c r="A182" s="3" t="s">
        <v>29</v>
      </c>
      <c r="B182" s="3">
        <v>2024.0</v>
      </c>
      <c r="C182" s="7" t="s">
        <v>31</v>
      </c>
      <c r="D182" s="5" t="s">
        <v>824</v>
      </c>
      <c r="E182" s="5" t="s">
        <v>473</v>
      </c>
      <c r="F182" s="5" t="s">
        <v>481</v>
      </c>
      <c r="G182" s="5" t="s">
        <v>475</v>
      </c>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hidden="1">
      <c r="A183" s="3" t="s">
        <v>29</v>
      </c>
      <c r="B183" s="3">
        <v>2024.0</v>
      </c>
      <c r="C183" s="7" t="s">
        <v>31</v>
      </c>
      <c r="D183" s="5" t="s">
        <v>825</v>
      </c>
      <c r="E183" s="5" t="s">
        <v>514</v>
      </c>
      <c r="F183" s="5" t="s">
        <v>481</v>
      </c>
      <c r="G183" s="5" t="s">
        <v>475</v>
      </c>
      <c r="H183" s="18"/>
      <c r="I183" s="18"/>
      <c r="J183" s="18"/>
      <c r="K183" s="18"/>
      <c r="L183" s="18"/>
      <c r="M183" s="18"/>
      <c r="N183" s="18"/>
      <c r="O183" s="18"/>
      <c r="P183" s="18"/>
      <c r="Q183" s="18"/>
      <c r="R183" s="18"/>
      <c r="S183" s="18"/>
      <c r="T183" s="18"/>
      <c r="U183" s="18"/>
      <c r="V183" s="18"/>
      <c r="W183" s="18"/>
      <c r="X183" s="18"/>
      <c r="Y183" s="18"/>
      <c r="Z183" s="18"/>
      <c r="AA183" s="18"/>
      <c r="AB183" s="18"/>
      <c r="AC183" s="18"/>
    </row>
    <row r="184" hidden="1">
      <c r="A184" s="5" t="s">
        <v>34</v>
      </c>
      <c r="B184" s="3">
        <v>2024.0</v>
      </c>
      <c r="C184" s="5" t="s">
        <v>35</v>
      </c>
      <c r="D184" s="5" t="s">
        <v>826</v>
      </c>
      <c r="E184" s="5" t="s">
        <v>514</v>
      </c>
      <c r="F184" s="5" t="s">
        <v>474</v>
      </c>
      <c r="G184" s="5" t="s">
        <v>475</v>
      </c>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hidden="1">
      <c r="A185" s="5" t="s">
        <v>34</v>
      </c>
      <c r="B185" s="3">
        <v>2024.0</v>
      </c>
      <c r="C185" s="5" t="s">
        <v>35</v>
      </c>
      <c r="D185" s="5" t="s">
        <v>827</v>
      </c>
      <c r="E185" s="5" t="s">
        <v>473</v>
      </c>
      <c r="F185" s="5" t="s">
        <v>481</v>
      </c>
      <c r="G185" s="5" t="s">
        <v>475</v>
      </c>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hidden="1">
      <c r="A186" s="5" t="s">
        <v>34</v>
      </c>
      <c r="B186" s="3">
        <v>2024.0</v>
      </c>
      <c r="C186" s="5" t="s">
        <v>35</v>
      </c>
      <c r="D186" s="5" t="s">
        <v>828</v>
      </c>
      <c r="E186" s="5" t="s">
        <v>514</v>
      </c>
      <c r="F186" s="5" t="s">
        <v>481</v>
      </c>
      <c r="G186" s="5" t="s">
        <v>475</v>
      </c>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hidden="1">
      <c r="A187" s="5" t="s">
        <v>34</v>
      </c>
      <c r="B187" s="3">
        <v>2024.0</v>
      </c>
      <c r="C187" s="5" t="s">
        <v>35</v>
      </c>
      <c r="D187" s="5" t="s">
        <v>829</v>
      </c>
      <c r="E187" s="5" t="s">
        <v>473</v>
      </c>
      <c r="F187" s="5" t="s">
        <v>474</v>
      </c>
      <c r="G187" s="5" t="s">
        <v>492</v>
      </c>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hidden="1">
      <c r="A188" s="5" t="s">
        <v>34</v>
      </c>
      <c r="B188" s="3">
        <v>2024.0</v>
      </c>
      <c r="C188" s="5" t="s">
        <v>35</v>
      </c>
      <c r="D188" s="5" t="s">
        <v>830</v>
      </c>
      <c r="E188" s="5" t="s">
        <v>473</v>
      </c>
      <c r="F188" s="5" t="s">
        <v>481</v>
      </c>
      <c r="G188" s="5" t="s">
        <v>475</v>
      </c>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hidden="1">
      <c r="A189" s="5" t="s">
        <v>34</v>
      </c>
      <c r="B189" s="3">
        <v>2024.0</v>
      </c>
      <c r="C189" s="5" t="s">
        <v>35</v>
      </c>
      <c r="D189" s="5" t="s">
        <v>831</v>
      </c>
      <c r="E189" s="5" t="s">
        <v>473</v>
      </c>
      <c r="F189" s="5" t="s">
        <v>474</v>
      </c>
      <c r="G189" s="5" t="s">
        <v>475</v>
      </c>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hidden="1">
      <c r="A190" s="5" t="s">
        <v>34</v>
      </c>
      <c r="B190" s="3">
        <v>2024.0</v>
      </c>
      <c r="C190" s="5" t="s">
        <v>35</v>
      </c>
      <c r="D190" s="5" t="s">
        <v>832</v>
      </c>
      <c r="E190" s="5" t="s">
        <v>473</v>
      </c>
      <c r="F190" s="5" t="s">
        <v>474</v>
      </c>
      <c r="G190" s="5" t="s">
        <v>475</v>
      </c>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hidden="1">
      <c r="A191" s="5" t="s">
        <v>34</v>
      </c>
      <c r="B191" s="3">
        <v>2024.0</v>
      </c>
      <c r="C191" s="5" t="s">
        <v>35</v>
      </c>
      <c r="D191" s="5" t="s">
        <v>833</v>
      </c>
      <c r="E191" s="5" t="s">
        <v>473</v>
      </c>
      <c r="F191" s="5" t="s">
        <v>474</v>
      </c>
      <c r="G191" s="5" t="s">
        <v>475</v>
      </c>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hidden="1">
      <c r="A192" s="5" t="s">
        <v>34</v>
      </c>
      <c r="B192" s="3">
        <v>2024.0</v>
      </c>
      <c r="C192" s="5" t="s">
        <v>35</v>
      </c>
      <c r="D192" s="5" t="s">
        <v>834</v>
      </c>
      <c r="E192" s="5" t="s">
        <v>473</v>
      </c>
      <c r="F192" s="5" t="s">
        <v>474</v>
      </c>
      <c r="G192" s="5" t="s">
        <v>475</v>
      </c>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hidden="1">
      <c r="A193" s="5" t="s">
        <v>34</v>
      </c>
      <c r="B193" s="3">
        <v>2024.0</v>
      </c>
      <c r="C193" s="5" t="s">
        <v>35</v>
      </c>
      <c r="D193" s="5" t="s">
        <v>835</v>
      </c>
      <c r="E193" s="5" t="s">
        <v>473</v>
      </c>
      <c r="F193" s="5" t="s">
        <v>474</v>
      </c>
      <c r="G193" s="5" t="s">
        <v>475</v>
      </c>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hidden="1">
      <c r="A194" s="3" t="s">
        <v>48</v>
      </c>
      <c r="B194" s="3">
        <v>2024.0</v>
      </c>
      <c r="C194" s="4" t="s">
        <v>49</v>
      </c>
      <c r="D194" s="5" t="s">
        <v>836</v>
      </c>
      <c r="E194" s="6"/>
      <c r="F194" s="5" t="s">
        <v>481</v>
      </c>
      <c r="G194" s="5" t="s">
        <v>492</v>
      </c>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hidden="1">
      <c r="A195" s="3" t="s">
        <v>48</v>
      </c>
      <c r="B195" s="3">
        <v>2024.0</v>
      </c>
      <c r="C195" s="4" t="s">
        <v>49</v>
      </c>
      <c r="D195" s="5" t="s">
        <v>837</v>
      </c>
      <c r="E195" s="5" t="s">
        <v>514</v>
      </c>
      <c r="F195" s="5" t="s">
        <v>481</v>
      </c>
      <c r="G195" s="5" t="s">
        <v>475</v>
      </c>
      <c r="H195" s="18"/>
      <c r="I195" s="18"/>
      <c r="J195" s="18"/>
      <c r="K195" s="18"/>
      <c r="L195" s="18"/>
      <c r="M195" s="18"/>
      <c r="N195" s="18"/>
      <c r="O195" s="18"/>
      <c r="P195" s="18"/>
      <c r="Q195" s="18"/>
      <c r="R195" s="18"/>
      <c r="S195" s="18"/>
      <c r="T195" s="18"/>
      <c r="U195" s="18"/>
      <c r="V195" s="18"/>
      <c r="W195" s="18"/>
      <c r="X195" s="18"/>
      <c r="Y195" s="18"/>
      <c r="Z195" s="18"/>
      <c r="AA195" s="18"/>
      <c r="AB195" s="18"/>
      <c r="AC195" s="18"/>
    </row>
    <row r="196" hidden="1">
      <c r="A196" s="3" t="s">
        <v>48</v>
      </c>
      <c r="B196" s="3">
        <v>2024.0</v>
      </c>
      <c r="C196" s="4" t="s">
        <v>49</v>
      </c>
      <c r="D196" s="5" t="s">
        <v>838</v>
      </c>
      <c r="E196" s="6"/>
      <c r="F196" s="5" t="s">
        <v>481</v>
      </c>
      <c r="G196" s="5" t="s">
        <v>475</v>
      </c>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hidden="1">
      <c r="A197" s="3" t="s">
        <v>48</v>
      </c>
      <c r="B197" s="3">
        <v>2024.0</v>
      </c>
      <c r="C197" s="4" t="s">
        <v>49</v>
      </c>
      <c r="D197" s="5" t="s">
        <v>839</v>
      </c>
      <c r="E197" s="6"/>
      <c r="F197" s="5" t="s">
        <v>481</v>
      </c>
      <c r="G197" s="5" t="s">
        <v>475</v>
      </c>
      <c r="H197" s="18"/>
      <c r="I197" s="18"/>
      <c r="J197" s="18"/>
      <c r="K197" s="18"/>
      <c r="L197" s="18"/>
      <c r="M197" s="18"/>
      <c r="N197" s="18"/>
      <c r="O197" s="18"/>
      <c r="P197" s="18"/>
      <c r="Q197" s="18"/>
      <c r="R197" s="18"/>
      <c r="S197" s="18"/>
      <c r="T197" s="18"/>
      <c r="U197" s="18"/>
      <c r="V197" s="18"/>
      <c r="W197" s="18"/>
      <c r="X197" s="18"/>
      <c r="Y197" s="18"/>
      <c r="Z197" s="18"/>
      <c r="AA197" s="18"/>
      <c r="AB197" s="18"/>
      <c r="AC197" s="18"/>
    </row>
    <row r="198" hidden="1">
      <c r="A198" s="3" t="s">
        <v>48</v>
      </c>
      <c r="B198" s="3">
        <v>2024.0</v>
      </c>
      <c r="C198" s="4" t="s">
        <v>49</v>
      </c>
      <c r="D198" s="5" t="s">
        <v>840</v>
      </c>
      <c r="E198" s="6"/>
      <c r="F198" s="5" t="s">
        <v>474</v>
      </c>
      <c r="G198" s="5" t="s">
        <v>475</v>
      </c>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hidden="1">
      <c r="A199" s="3" t="s">
        <v>48</v>
      </c>
      <c r="B199" s="3">
        <v>2024.0</v>
      </c>
      <c r="C199" s="4" t="s">
        <v>49</v>
      </c>
      <c r="D199" s="5" t="s">
        <v>841</v>
      </c>
      <c r="E199" s="6"/>
      <c r="F199" s="5" t="s">
        <v>481</v>
      </c>
      <c r="G199" s="5" t="s">
        <v>475</v>
      </c>
      <c r="H199" s="18"/>
      <c r="I199" s="18"/>
      <c r="J199" s="18"/>
      <c r="K199" s="18"/>
      <c r="L199" s="18"/>
      <c r="M199" s="18"/>
      <c r="N199" s="18"/>
      <c r="O199" s="18"/>
      <c r="P199" s="18"/>
      <c r="Q199" s="18"/>
      <c r="R199" s="18"/>
      <c r="S199" s="18"/>
      <c r="T199" s="18"/>
      <c r="U199" s="18"/>
      <c r="V199" s="18"/>
      <c r="W199" s="18"/>
      <c r="X199" s="18"/>
      <c r="Y199" s="18"/>
      <c r="Z199" s="18"/>
      <c r="AA199" s="18"/>
      <c r="AB199" s="18"/>
      <c r="AC199" s="18"/>
    </row>
    <row r="200" hidden="1">
      <c r="A200" s="3" t="s">
        <v>48</v>
      </c>
      <c r="B200" s="3">
        <v>2024.0</v>
      </c>
      <c r="C200" s="4" t="s">
        <v>49</v>
      </c>
      <c r="D200" s="5" t="s">
        <v>842</v>
      </c>
      <c r="E200" s="6"/>
      <c r="F200" s="5" t="s">
        <v>481</v>
      </c>
      <c r="G200" s="5" t="s">
        <v>492</v>
      </c>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hidden="1">
      <c r="A201" s="3" t="s">
        <v>48</v>
      </c>
      <c r="B201" s="3">
        <v>2024.0</v>
      </c>
      <c r="C201" s="4" t="s">
        <v>49</v>
      </c>
      <c r="D201" s="5" t="s">
        <v>843</v>
      </c>
      <c r="E201" s="6"/>
      <c r="F201" s="5" t="s">
        <v>481</v>
      </c>
      <c r="G201" s="5" t="s">
        <v>492</v>
      </c>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hidden="1">
      <c r="A202" s="3" t="s">
        <v>48</v>
      </c>
      <c r="B202" s="3">
        <v>2024.0</v>
      </c>
      <c r="C202" s="4" t="s">
        <v>49</v>
      </c>
      <c r="D202" s="5" t="s">
        <v>844</v>
      </c>
      <c r="E202" s="6"/>
      <c r="F202" s="5" t="s">
        <v>474</v>
      </c>
      <c r="G202" s="5" t="s">
        <v>492</v>
      </c>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hidden="1">
      <c r="A203" s="3" t="s">
        <v>48</v>
      </c>
      <c r="B203" s="3">
        <v>2024.0</v>
      </c>
      <c r="C203" s="4" t="s">
        <v>49</v>
      </c>
      <c r="D203" s="5" t="s">
        <v>845</v>
      </c>
      <c r="E203" s="6"/>
      <c r="F203" s="5" t="s">
        <v>481</v>
      </c>
      <c r="G203" s="5" t="s">
        <v>475</v>
      </c>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hidden="1">
      <c r="A204" s="3" t="s">
        <v>48</v>
      </c>
      <c r="B204" s="3">
        <v>2024.0</v>
      </c>
      <c r="C204" s="4" t="s">
        <v>49</v>
      </c>
      <c r="D204" s="5" t="s">
        <v>846</v>
      </c>
      <c r="E204" s="6"/>
      <c r="F204" s="5" t="s">
        <v>481</v>
      </c>
      <c r="G204" s="5" t="s">
        <v>475</v>
      </c>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hidden="1">
      <c r="A205" s="3" t="s">
        <v>48</v>
      </c>
      <c r="B205" s="3">
        <v>2024.0</v>
      </c>
      <c r="C205" s="4" t="s">
        <v>49</v>
      </c>
      <c r="D205" s="5" t="s">
        <v>847</v>
      </c>
      <c r="E205" s="6"/>
      <c r="F205" s="5" t="s">
        <v>481</v>
      </c>
      <c r="G205" s="5" t="s">
        <v>492</v>
      </c>
      <c r="H205" s="18"/>
      <c r="I205" s="18"/>
      <c r="J205" s="18"/>
      <c r="K205" s="18"/>
      <c r="L205" s="18"/>
      <c r="M205" s="18"/>
      <c r="N205" s="18"/>
      <c r="O205" s="18"/>
      <c r="P205" s="18"/>
      <c r="Q205" s="18"/>
      <c r="R205" s="18"/>
      <c r="S205" s="18"/>
      <c r="T205" s="18"/>
      <c r="U205" s="18"/>
      <c r="V205" s="18"/>
      <c r="W205" s="18"/>
      <c r="X205" s="18"/>
      <c r="Y205" s="18"/>
      <c r="Z205" s="18"/>
      <c r="AA205" s="18"/>
      <c r="AB205" s="18"/>
      <c r="AC205" s="18"/>
    </row>
    <row r="206" hidden="1">
      <c r="A206" s="3" t="s">
        <v>48</v>
      </c>
      <c r="B206" s="3">
        <v>2024.0</v>
      </c>
      <c r="C206" s="4" t="s">
        <v>49</v>
      </c>
      <c r="D206" s="5" t="s">
        <v>848</v>
      </c>
      <c r="E206" s="6"/>
      <c r="F206" s="5" t="s">
        <v>481</v>
      </c>
      <c r="G206" s="5" t="s">
        <v>492</v>
      </c>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hidden="1">
      <c r="A207" s="3" t="s">
        <v>48</v>
      </c>
      <c r="B207" s="3">
        <v>2024.0</v>
      </c>
      <c r="C207" s="4" t="s">
        <v>49</v>
      </c>
      <c r="D207" s="5" t="s">
        <v>849</v>
      </c>
      <c r="E207" s="6"/>
      <c r="F207" s="5" t="s">
        <v>474</v>
      </c>
      <c r="G207" s="5" t="s">
        <v>475</v>
      </c>
      <c r="H207" s="18"/>
      <c r="I207" s="18"/>
      <c r="J207" s="18"/>
      <c r="K207" s="18"/>
      <c r="L207" s="18"/>
      <c r="M207" s="18"/>
      <c r="N207" s="18"/>
      <c r="O207" s="18"/>
      <c r="P207" s="18"/>
      <c r="Q207" s="18"/>
      <c r="R207" s="18"/>
      <c r="S207" s="18"/>
      <c r="T207" s="18"/>
      <c r="U207" s="18"/>
      <c r="V207" s="18"/>
      <c r="W207" s="18"/>
      <c r="X207" s="18"/>
      <c r="Y207" s="18"/>
      <c r="Z207" s="18"/>
      <c r="AA207" s="18"/>
      <c r="AB207" s="18"/>
      <c r="AC207" s="18"/>
    </row>
    <row r="208" hidden="1">
      <c r="A208" s="3" t="s">
        <v>48</v>
      </c>
      <c r="B208" s="3">
        <v>2024.0</v>
      </c>
      <c r="C208" s="4" t="s">
        <v>49</v>
      </c>
      <c r="D208" s="5" t="s">
        <v>850</v>
      </c>
      <c r="E208" s="6"/>
      <c r="F208" s="5" t="s">
        <v>481</v>
      </c>
      <c r="G208" s="5" t="s">
        <v>475</v>
      </c>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hidden="1">
      <c r="A209" s="3" t="s">
        <v>48</v>
      </c>
      <c r="B209" s="3">
        <v>2024.0</v>
      </c>
      <c r="C209" s="4" t="s">
        <v>49</v>
      </c>
      <c r="D209" s="5" t="s">
        <v>851</v>
      </c>
      <c r="E209" s="6"/>
      <c r="F209" s="5" t="s">
        <v>481</v>
      </c>
      <c r="G209" s="5" t="s">
        <v>475</v>
      </c>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hidden="1">
      <c r="A210" s="3" t="s">
        <v>48</v>
      </c>
      <c r="B210" s="3">
        <v>2024.0</v>
      </c>
      <c r="C210" s="4" t="s">
        <v>49</v>
      </c>
      <c r="D210" s="5" t="s">
        <v>852</v>
      </c>
      <c r="E210" s="6"/>
      <c r="F210" s="5" t="s">
        <v>481</v>
      </c>
      <c r="G210" s="5" t="s">
        <v>475</v>
      </c>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hidden="1">
      <c r="A211" s="3" t="s">
        <v>48</v>
      </c>
      <c r="B211" s="3">
        <v>2024.0</v>
      </c>
      <c r="C211" s="4" t="s">
        <v>49</v>
      </c>
      <c r="D211" s="5" t="s">
        <v>853</v>
      </c>
      <c r="E211" s="6"/>
      <c r="F211" s="5" t="s">
        <v>481</v>
      </c>
      <c r="G211" s="5" t="s">
        <v>475</v>
      </c>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hidden="1">
      <c r="A212" s="3" t="s">
        <v>48</v>
      </c>
      <c r="B212" s="3">
        <v>2024.0</v>
      </c>
      <c r="C212" s="4" t="s">
        <v>49</v>
      </c>
      <c r="D212" s="5" t="s">
        <v>854</v>
      </c>
      <c r="E212" s="6"/>
      <c r="F212" s="5" t="s">
        <v>481</v>
      </c>
      <c r="G212" s="5" t="s">
        <v>475</v>
      </c>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hidden="1">
      <c r="A213" s="3" t="s">
        <v>48</v>
      </c>
      <c r="B213" s="3">
        <v>2024.0</v>
      </c>
      <c r="C213" s="4" t="s">
        <v>49</v>
      </c>
      <c r="D213" s="5" t="s">
        <v>855</v>
      </c>
      <c r="E213" s="6"/>
      <c r="F213" s="5" t="s">
        <v>481</v>
      </c>
      <c r="G213" s="5" t="s">
        <v>475</v>
      </c>
      <c r="H213" s="18"/>
      <c r="I213" s="18"/>
      <c r="J213" s="18"/>
      <c r="K213" s="18"/>
      <c r="L213" s="18"/>
      <c r="M213" s="18"/>
      <c r="N213" s="18"/>
      <c r="O213" s="18"/>
      <c r="P213" s="18"/>
      <c r="Q213" s="18"/>
      <c r="R213" s="18"/>
      <c r="S213" s="18"/>
      <c r="T213" s="18"/>
      <c r="U213" s="18"/>
      <c r="V213" s="18"/>
      <c r="W213" s="18"/>
      <c r="X213" s="18"/>
      <c r="Y213" s="18"/>
      <c r="Z213" s="18"/>
      <c r="AA213" s="18"/>
      <c r="AB213" s="18"/>
      <c r="AC213" s="18"/>
    </row>
    <row r="214" hidden="1">
      <c r="A214" s="3" t="s">
        <v>48</v>
      </c>
      <c r="B214" s="3">
        <v>2024.0</v>
      </c>
      <c r="C214" s="4" t="s">
        <v>49</v>
      </c>
      <c r="D214" s="5" t="s">
        <v>856</v>
      </c>
      <c r="E214" s="6"/>
      <c r="F214" s="5" t="s">
        <v>481</v>
      </c>
      <c r="G214" s="5" t="s">
        <v>475</v>
      </c>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hidden="1">
      <c r="A215" s="3" t="s">
        <v>48</v>
      </c>
      <c r="B215" s="3">
        <v>2024.0</v>
      </c>
      <c r="C215" s="4" t="s">
        <v>49</v>
      </c>
      <c r="D215" s="5" t="s">
        <v>857</v>
      </c>
      <c r="E215" s="6"/>
      <c r="F215" s="5" t="s">
        <v>481</v>
      </c>
      <c r="G215" s="5" t="s">
        <v>475</v>
      </c>
      <c r="H215" s="18"/>
      <c r="I215" s="18"/>
      <c r="J215" s="18"/>
      <c r="K215" s="18"/>
      <c r="L215" s="18"/>
      <c r="M215" s="18"/>
      <c r="N215" s="18"/>
      <c r="O215" s="18"/>
      <c r="P215" s="18"/>
      <c r="Q215" s="18"/>
      <c r="R215" s="18"/>
      <c r="S215" s="18"/>
      <c r="T215" s="18"/>
      <c r="U215" s="18"/>
      <c r="V215" s="18"/>
      <c r="W215" s="18"/>
      <c r="X215" s="18"/>
      <c r="Y215" s="18"/>
      <c r="Z215" s="18"/>
      <c r="AA215" s="18"/>
      <c r="AB215" s="18"/>
      <c r="AC215" s="18"/>
    </row>
    <row r="216" hidden="1">
      <c r="A216" s="3" t="s">
        <v>48</v>
      </c>
      <c r="B216" s="3">
        <v>2024.0</v>
      </c>
      <c r="C216" s="4" t="s">
        <v>49</v>
      </c>
      <c r="D216" s="5" t="s">
        <v>858</v>
      </c>
      <c r="E216" s="6"/>
      <c r="F216" s="5" t="s">
        <v>481</v>
      </c>
      <c r="G216" s="5" t="s">
        <v>492</v>
      </c>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hidden="1">
      <c r="A217" s="3" t="s">
        <v>48</v>
      </c>
      <c r="B217" s="3">
        <v>2024.0</v>
      </c>
      <c r="C217" s="4" t="s">
        <v>49</v>
      </c>
      <c r="D217" s="5" t="s">
        <v>859</v>
      </c>
      <c r="E217" s="6"/>
      <c r="F217" s="5" t="s">
        <v>481</v>
      </c>
      <c r="G217" s="5" t="s">
        <v>475</v>
      </c>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hidden="1">
      <c r="A218" s="3" t="s">
        <v>48</v>
      </c>
      <c r="B218" s="3">
        <v>2024.0</v>
      </c>
      <c r="C218" s="4" t="s">
        <v>49</v>
      </c>
      <c r="D218" s="5" t="s">
        <v>860</v>
      </c>
      <c r="E218" s="6"/>
      <c r="F218" s="5" t="s">
        <v>481</v>
      </c>
      <c r="G218" s="5" t="s">
        <v>475</v>
      </c>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hidden="1">
      <c r="A219" s="3" t="s">
        <v>48</v>
      </c>
      <c r="B219" s="3">
        <v>2024.0</v>
      </c>
      <c r="C219" s="4" t="s">
        <v>49</v>
      </c>
      <c r="D219" s="5" t="s">
        <v>861</v>
      </c>
      <c r="E219" s="6"/>
      <c r="F219" s="5" t="s">
        <v>481</v>
      </c>
      <c r="G219" s="5" t="s">
        <v>475</v>
      </c>
      <c r="H219" s="18"/>
      <c r="I219" s="18"/>
      <c r="J219" s="18"/>
      <c r="K219" s="18"/>
      <c r="L219" s="18"/>
      <c r="M219" s="18"/>
      <c r="N219" s="18"/>
      <c r="O219" s="18"/>
      <c r="P219" s="18"/>
      <c r="Q219" s="18"/>
      <c r="R219" s="18"/>
      <c r="S219" s="18"/>
      <c r="T219" s="18"/>
      <c r="U219" s="18"/>
      <c r="V219" s="18"/>
      <c r="W219" s="18"/>
      <c r="X219" s="18"/>
      <c r="Y219" s="18"/>
      <c r="Z219" s="18"/>
      <c r="AA219" s="18"/>
      <c r="AB219" s="18"/>
      <c r="AC219" s="18"/>
    </row>
    <row r="220" hidden="1">
      <c r="A220" s="3" t="s">
        <v>48</v>
      </c>
      <c r="B220" s="3">
        <v>2024.0</v>
      </c>
      <c r="C220" s="4" t="s">
        <v>49</v>
      </c>
      <c r="D220" s="5" t="s">
        <v>862</v>
      </c>
      <c r="E220" s="6"/>
      <c r="F220" s="5" t="s">
        <v>481</v>
      </c>
      <c r="G220" s="5" t="s">
        <v>475</v>
      </c>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hidden="1">
      <c r="A221" s="3" t="s">
        <v>48</v>
      </c>
      <c r="B221" s="3">
        <v>2024.0</v>
      </c>
      <c r="C221" s="4" t="s">
        <v>49</v>
      </c>
      <c r="D221" s="5" t="s">
        <v>863</v>
      </c>
      <c r="E221" s="6"/>
      <c r="F221" s="5" t="s">
        <v>474</v>
      </c>
      <c r="G221" s="5" t="s">
        <v>475</v>
      </c>
      <c r="H221" s="18"/>
      <c r="I221" s="18"/>
      <c r="J221" s="18"/>
      <c r="K221" s="18"/>
      <c r="L221" s="18"/>
      <c r="M221" s="18"/>
      <c r="N221" s="18"/>
      <c r="O221" s="18"/>
      <c r="P221" s="18"/>
      <c r="Q221" s="18"/>
      <c r="R221" s="18"/>
      <c r="S221" s="18"/>
      <c r="T221" s="18"/>
      <c r="U221" s="18"/>
      <c r="V221" s="18"/>
      <c r="W221" s="18"/>
      <c r="X221" s="18"/>
      <c r="Y221" s="18"/>
      <c r="Z221" s="18"/>
      <c r="AA221" s="18"/>
      <c r="AB221" s="18"/>
      <c r="AC221" s="18"/>
    </row>
    <row r="222" hidden="1">
      <c r="A222" s="3" t="s">
        <v>48</v>
      </c>
      <c r="B222" s="3">
        <v>2024.0</v>
      </c>
      <c r="C222" s="4" t="s">
        <v>49</v>
      </c>
      <c r="D222" s="5" t="s">
        <v>864</v>
      </c>
      <c r="E222" s="6"/>
      <c r="F222" s="5" t="s">
        <v>481</v>
      </c>
      <c r="G222" s="5" t="s">
        <v>475</v>
      </c>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hidden="1">
      <c r="A223" s="3" t="s">
        <v>48</v>
      </c>
      <c r="B223" s="3">
        <v>2024.0</v>
      </c>
      <c r="C223" s="4" t="s">
        <v>49</v>
      </c>
      <c r="D223" s="5" t="s">
        <v>865</v>
      </c>
      <c r="E223" s="6"/>
      <c r="F223" s="5" t="s">
        <v>481</v>
      </c>
      <c r="G223" s="5" t="s">
        <v>475</v>
      </c>
      <c r="H223" s="18"/>
      <c r="I223" s="18"/>
      <c r="J223" s="18"/>
      <c r="K223" s="18"/>
      <c r="L223" s="18"/>
      <c r="M223" s="18"/>
      <c r="N223" s="18"/>
      <c r="O223" s="18"/>
      <c r="P223" s="18"/>
      <c r="Q223" s="18"/>
      <c r="R223" s="18"/>
      <c r="S223" s="18"/>
      <c r="T223" s="18"/>
      <c r="U223" s="18"/>
      <c r="V223" s="18"/>
      <c r="W223" s="18"/>
      <c r="X223" s="18"/>
      <c r="Y223" s="18"/>
      <c r="Z223" s="18"/>
      <c r="AA223" s="18"/>
      <c r="AB223" s="18"/>
      <c r="AC223" s="18"/>
    </row>
    <row r="224" hidden="1">
      <c r="A224" s="3" t="s">
        <v>48</v>
      </c>
      <c r="B224" s="3">
        <v>2024.0</v>
      </c>
      <c r="C224" s="4" t="s">
        <v>49</v>
      </c>
      <c r="D224" s="5" t="s">
        <v>866</v>
      </c>
      <c r="E224" s="6"/>
      <c r="F224" s="5" t="s">
        <v>481</v>
      </c>
      <c r="G224" s="5" t="s">
        <v>492</v>
      </c>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hidden="1">
      <c r="A225" s="3" t="s">
        <v>48</v>
      </c>
      <c r="B225" s="3">
        <v>2024.0</v>
      </c>
      <c r="C225" s="4" t="s">
        <v>49</v>
      </c>
      <c r="D225" s="5" t="s">
        <v>867</v>
      </c>
      <c r="E225" s="6"/>
      <c r="F225" s="5" t="s">
        <v>481</v>
      </c>
      <c r="G225" s="5" t="s">
        <v>475</v>
      </c>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hidden="1">
      <c r="A226" s="3" t="s">
        <v>48</v>
      </c>
      <c r="B226" s="3">
        <v>2024.0</v>
      </c>
      <c r="C226" s="4" t="s">
        <v>49</v>
      </c>
      <c r="D226" s="5" t="s">
        <v>868</v>
      </c>
      <c r="E226" s="6"/>
      <c r="F226" s="5" t="s">
        <v>474</v>
      </c>
      <c r="G226" s="5" t="s">
        <v>475</v>
      </c>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hidden="1">
      <c r="A227" s="3" t="s">
        <v>48</v>
      </c>
      <c r="B227" s="3">
        <v>2024.0</v>
      </c>
      <c r="C227" s="4" t="s">
        <v>49</v>
      </c>
      <c r="D227" s="5" t="s">
        <v>869</v>
      </c>
      <c r="E227" s="6"/>
      <c r="F227" s="5" t="s">
        <v>481</v>
      </c>
      <c r="G227" s="5" t="s">
        <v>475</v>
      </c>
      <c r="H227" s="18"/>
      <c r="I227" s="18"/>
      <c r="J227" s="18"/>
      <c r="K227" s="18"/>
      <c r="L227" s="18"/>
      <c r="M227" s="18"/>
      <c r="N227" s="18"/>
      <c r="O227" s="18"/>
      <c r="P227" s="18"/>
      <c r="Q227" s="18"/>
      <c r="R227" s="18"/>
      <c r="S227" s="18"/>
      <c r="T227" s="18"/>
      <c r="U227" s="18"/>
      <c r="V227" s="18"/>
      <c r="W227" s="18"/>
      <c r="X227" s="18"/>
      <c r="Y227" s="18"/>
      <c r="Z227" s="18"/>
      <c r="AA227" s="18"/>
      <c r="AB227" s="18"/>
      <c r="AC227" s="18"/>
    </row>
    <row r="228" hidden="1">
      <c r="A228" s="3" t="s">
        <v>48</v>
      </c>
      <c r="B228" s="3">
        <v>2024.0</v>
      </c>
      <c r="C228" s="4" t="s">
        <v>49</v>
      </c>
      <c r="D228" s="5" t="s">
        <v>870</v>
      </c>
      <c r="E228" s="6"/>
      <c r="F228" s="5" t="s">
        <v>481</v>
      </c>
      <c r="G228" s="5" t="s">
        <v>492</v>
      </c>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hidden="1">
      <c r="A229" s="3" t="s">
        <v>48</v>
      </c>
      <c r="B229" s="3">
        <v>2024.0</v>
      </c>
      <c r="C229" s="4" t="s">
        <v>49</v>
      </c>
      <c r="D229" s="5" t="s">
        <v>871</v>
      </c>
      <c r="E229" s="6"/>
      <c r="F229" s="5" t="s">
        <v>481</v>
      </c>
      <c r="G229" s="5" t="s">
        <v>492</v>
      </c>
      <c r="H229" s="18"/>
      <c r="I229" s="18"/>
      <c r="J229" s="18"/>
      <c r="K229" s="18"/>
      <c r="L229" s="18"/>
      <c r="M229" s="18"/>
      <c r="N229" s="18"/>
      <c r="O229" s="18"/>
      <c r="P229" s="18"/>
      <c r="Q229" s="18"/>
      <c r="R229" s="18"/>
      <c r="S229" s="18"/>
      <c r="T229" s="18"/>
      <c r="U229" s="18"/>
      <c r="V229" s="18"/>
      <c r="W229" s="18"/>
      <c r="X229" s="18"/>
      <c r="Y229" s="18"/>
      <c r="Z229" s="18"/>
      <c r="AA229" s="18"/>
      <c r="AB229" s="18"/>
      <c r="AC229" s="18"/>
    </row>
    <row r="230" hidden="1">
      <c r="A230" s="3" t="s">
        <v>48</v>
      </c>
      <c r="B230" s="3">
        <v>2024.0</v>
      </c>
      <c r="C230" s="4" t="s">
        <v>49</v>
      </c>
      <c r="D230" s="5" t="s">
        <v>872</v>
      </c>
      <c r="E230" s="6"/>
      <c r="F230" s="5" t="s">
        <v>481</v>
      </c>
      <c r="G230" s="5" t="s">
        <v>651</v>
      </c>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hidden="1">
      <c r="A231" s="3" t="s">
        <v>51</v>
      </c>
      <c r="B231" s="3">
        <v>2024.0</v>
      </c>
      <c r="C231" s="5" t="s">
        <v>53</v>
      </c>
      <c r="D231" s="5" t="s">
        <v>873</v>
      </c>
      <c r="E231" s="5" t="s">
        <v>473</v>
      </c>
      <c r="F231" s="5" t="s">
        <v>474</v>
      </c>
      <c r="G231" s="5" t="s">
        <v>475</v>
      </c>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hidden="1">
      <c r="A232" s="3" t="s">
        <v>59</v>
      </c>
      <c r="B232" s="3">
        <v>2024.0</v>
      </c>
      <c r="C232" s="7" t="s">
        <v>60</v>
      </c>
      <c r="D232" s="5" t="s">
        <v>874</v>
      </c>
      <c r="E232" s="5" t="s">
        <v>473</v>
      </c>
      <c r="F232" s="5" t="s">
        <v>481</v>
      </c>
      <c r="G232" s="5" t="s">
        <v>475</v>
      </c>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hidden="1">
      <c r="A233" s="22" t="s">
        <v>62</v>
      </c>
      <c r="B233" s="22">
        <v>2022.0</v>
      </c>
      <c r="C233" s="22" t="s">
        <v>221</v>
      </c>
      <c r="D233" s="22" t="s">
        <v>875</v>
      </c>
      <c r="E233" s="22" t="s">
        <v>473</v>
      </c>
      <c r="F233" s="22" t="s">
        <v>481</v>
      </c>
      <c r="G233" s="22" t="s">
        <v>475</v>
      </c>
      <c r="H233" s="23"/>
      <c r="I233" s="23"/>
      <c r="J233" s="23"/>
      <c r="K233" s="23"/>
      <c r="L233" s="23"/>
      <c r="M233" s="23"/>
      <c r="N233" s="23"/>
      <c r="O233" s="23"/>
      <c r="P233" s="23"/>
      <c r="Q233" s="23"/>
      <c r="R233" s="23"/>
      <c r="S233" s="23"/>
      <c r="T233" s="23"/>
      <c r="U233" s="23"/>
      <c r="V233" s="23"/>
      <c r="W233" s="23"/>
      <c r="X233" s="23"/>
      <c r="Y233" s="23"/>
      <c r="Z233" s="23"/>
      <c r="AA233" s="23"/>
      <c r="AB233" s="23"/>
      <c r="AC233" s="23"/>
    </row>
    <row r="234" hidden="1">
      <c r="A234" s="22" t="s">
        <v>62</v>
      </c>
      <c r="B234" s="22">
        <v>2022.0</v>
      </c>
      <c r="C234" s="22" t="s">
        <v>221</v>
      </c>
      <c r="D234" s="22" t="s">
        <v>876</v>
      </c>
      <c r="E234" s="22" t="s">
        <v>473</v>
      </c>
      <c r="F234" s="22" t="s">
        <v>474</v>
      </c>
      <c r="G234" s="22" t="s">
        <v>475</v>
      </c>
      <c r="H234" s="23"/>
      <c r="I234" s="23"/>
      <c r="J234" s="23"/>
      <c r="K234" s="23"/>
      <c r="L234" s="23"/>
      <c r="M234" s="23"/>
      <c r="N234" s="23"/>
      <c r="O234" s="23"/>
      <c r="P234" s="23"/>
      <c r="Q234" s="23"/>
      <c r="R234" s="23"/>
      <c r="S234" s="23"/>
      <c r="T234" s="23"/>
      <c r="U234" s="23"/>
      <c r="V234" s="23"/>
      <c r="W234" s="23"/>
      <c r="X234" s="23"/>
      <c r="Y234" s="23"/>
      <c r="Z234" s="23"/>
      <c r="AA234" s="23"/>
      <c r="AB234" s="23"/>
      <c r="AC234" s="23"/>
    </row>
    <row r="235" hidden="1">
      <c r="A235" s="22" t="s">
        <v>62</v>
      </c>
      <c r="B235" s="22">
        <v>2022.0</v>
      </c>
      <c r="C235" s="22" t="s">
        <v>221</v>
      </c>
      <c r="D235" s="22" t="s">
        <v>877</v>
      </c>
      <c r="E235" s="22" t="s">
        <v>473</v>
      </c>
      <c r="F235" s="22" t="s">
        <v>481</v>
      </c>
      <c r="G235" s="22" t="s">
        <v>651</v>
      </c>
      <c r="H235" s="23"/>
      <c r="I235" s="23"/>
      <c r="J235" s="23"/>
      <c r="K235" s="23"/>
      <c r="L235" s="23"/>
      <c r="M235" s="23"/>
      <c r="N235" s="23"/>
      <c r="O235" s="23"/>
      <c r="P235" s="23"/>
      <c r="Q235" s="23"/>
      <c r="R235" s="23"/>
      <c r="S235" s="23"/>
      <c r="T235" s="23"/>
      <c r="U235" s="23"/>
      <c r="V235" s="23"/>
      <c r="W235" s="23"/>
      <c r="X235" s="23"/>
      <c r="Y235" s="23"/>
      <c r="Z235" s="23"/>
      <c r="AA235" s="23"/>
      <c r="AB235" s="23"/>
      <c r="AC235" s="23"/>
    </row>
    <row r="236" hidden="1">
      <c r="A236" s="22" t="s">
        <v>62</v>
      </c>
      <c r="B236" s="22">
        <v>2022.0</v>
      </c>
      <c r="C236" s="22" t="s">
        <v>221</v>
      </c>
      <c r="D236" s="22" t="s">
        <v>878</v>
      </c>
      <c r="E236" s="22" t="s">
        <v>473</v>
      </c>
      <c r="F236" s="22" t="s">
        <v>474</v>
      </c>
      <c r="G236" s="22" t="s">
        <v>475</v>
      </c>
      <c r="H236" s="23"/>
      <c r="I236" s="23"/>
      <c r="J236" s="23"/>
      <c r="K236" s="23"/>
      <c r="L236" s="23"/>
      <c r="M236" s="23"/>
      <c r="N236" s="23"/>
      <c r="O236" s="23"/>
      <c r="P236" s="23"/>
      <c r="Q236" s="23"/>
      <c r="R236" s="23"/>
      <c r="S236" s="23"/>
      <c r="T236" s="23"/>
      <c r="U236" s="23"/>
      <c r="V236" s="23"/>
      <c r="W236" s="23"/>
      <c r="X236" s="23"/>
      <c r="Y236" s="23"/>
      <c r="Z236" s="23"/>
      <c r="AA236" s="23"/>
      <c r="AB236" s="23"/>
      <c r="AC236" s="23"/>
    </row>
    <row r="237" hidden="1">
      <c r="A237" s="22" t="s">
        <v>62</v>
      </c>
      <c r="B237" s="22">
        <v>2022.0</v>
      </c>
      <c r="C237" s="22" t="s">
        <v>221</v>
      </c>
      <c r="D237" s="22" t="s">
        <v>879</v>
      </c>
      <c r="E237" s="22" t="s">
        <v>514</v>
      </c>
      <c r="F237" s="22" t="s">
        <v>474</v>
      </c>
      <c r="G237" s="22" t="s">
        <v>475</v>
      </c>
      <c r="H237" s="23"/>
      <c r="I237" s="23"/>
      <c r="J237" s="23"/>
      <c r="K237" s="23"/>
      <c r="L237" s="23"/>
      <c r="M237" s="23"/>
      <c r="N237" s="23"/>
      <c r="O237" s="23"/>
      <c r="P237" s="23"/>
      <c r="Q237" s="23"/>
      <c r="R237" s="23"/>
      <c r="S237" s="23"/>
      <c r="T237" s="23"/>
      <c r="U237" s="23"/>
      <c r="V237" s="23"/>
      <c r="W237" s="23"/>
      <c r="X237" s="23"/>
      <c r="Y237" s="23"/>
      <c r="Z237" s="23"/>
      <c r="AA237" s="23"/>
      <c r="AB237" s="23"/>
      <c r="AC237" s="23"/>
    </row>
    <row r="238" hidden="1">
      <c r="A238" s="22" t="s">
        <v>62</v>
      </c>
      <c r="B238" s="22">
        <v>2022.0</v>
      </c>
      <c r="C238" s="22" t="s">
        <v>221</v>
      </c>
      <c r="D238" s="22" t="s">
        <v>880</v>
      </c>
      <c r="E238" s="22" t="s">
        <v>514</v>
      </c>
      <c r="F238" s="22" t="s">
        <v>481</v>
      </c>
      <c r="G238" s="22" t="s">
        <v>475</v>
      </c>
      <c r="H238" s="23"/>
      <c r="I238" s="23"/>
      <c r="J238" s="23"/>
      <c r="K238" s="23"/>
      <c r="L238" s="23"/>
      <c r="M238" s="23"/>
      <c r="N238" s="23"/>
      <c r="O238" s="23"/>
      <c r="P238" s="23"/>
      <c r="Q238" s="23"/>
      <c r="R238" s="23"/>
      <c r="S238" s="23"/>
      <c r="T238" s="23"/>
      <c r="U238" s="23"/>
      <c r="V238" s="23"/>
      <c r="W238" s="23"/>
      <c r="X238" s="23"/>
      <c r="Y238" s="23"/>
      <c r="Z238" s="23"/>
      <c r="AA238" s="23"/>
      <c r="AB238" s="23"/>
      <c r="AC238" s="23"/>
    </row>
    <row r="239" hidden="1">
      <c r="A239" s="5" t="s">
        <v>189</v>
      </c>
      <c r="B239" s="5">
        <v>2018.0</v>
      </c>
      <c r="C239" s="5" t="s">
        <v>236</v>
      </c>
      <c r="D239" s="5" t="s">
        <v>881</v>
      </c>
      <c r="E239" s="5" t="s">
        <v>473</v>
      </c>
      <c r="F239" s="5" t="s">
        <v>481</v>
      </c>
      <c r="G239" s="5" t="s">
        <v>475</v>
      </c>
      <c r="H239" s="18"/>
      <c r="I239" s="18"/>
      <c r="J239" s="18"/>
      <c r="K239" s="18"/>
      <c r="L239" s="18"/>
      <c r="M239" s="18"/>
      <c r="N239" s="18"/>
      <c r="O239" s="18"/>
      <c r="P239" s="18"/>
      <c r="Q239" s="18"/>
      <c r="R239" s="18"/>
      <c r="S239" s="18"/>
      <c r="T239" s="18"/>
      <c r="U239" s="18"/>
      <c r="V239" s="18"/>
      <c r="W239" s="18"/>
      <c r="X239" s="18"/>
      <c r="Y239" s="18"/>
      <c r="Z239" s="18"/>
      <c r="AA239" s="18"/>
      <c r="AB239" s="18"/>
      <c r="AC239" s="18"/>
    </row>
    <row r="240" hidden="1">
      <c r="A240" s="5" t="s">
        <v>189</v>
      </c>
      <c r="B240" s="5">
        <v>2018.0</v>
      </c>
      <c r="C240" s="5" t="s">
        <v>236</v>
      </c>
      <c r="D240" s="5" t="s">
        <v>882</v>
      </c>
      <c r="E240" s="5" t="s">
        <v>473</v>
      </c>
      <c r="F240" s="5" t="s">
        <v>474</v>
      </c>
      <c r="G240" s="5" t="s">
        <v>475</v>
      </c>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hidden="1">
      <c r="A241" s="5" t="s">
        <v>189</v>
      </c>
      <c r="B241" s="5">
        <v>2018.0</v>
      </c>
      <c r="C241" s="5" t="s">
        <v>236</v>
      </c>
      <c r="D241" s="5" t="s">
        <v>883</v>
      </c>
      <c r="E241" s="5" t="s">
        <v>473</v>
      </c>
      <c r="F241" s="5" t="s">
        <v>474</v>
      </c>
      <c r="G241" s="5" t="s">
        <v>492</v>
      </c>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hidden="1">
      <c r="A242" s="5" t="s">
        <v>189</v>
      </c>
      <c r="B242" s="5">
        <v>2018.0</v>
      </c>
      <c r="C242" s="5" t="s">
        <v>236</v>
      </c>
      <c r="D242" s="5" t="s">
        <v>884</v>
      </c>
      <c r="E242" s="5" t="s">
        <v>473</v>
      </c>
      <c r="F242" s="5" t="s">
        <v>474</v>
      </c>
      <c r="G242" s="5" t="s">
        <v>475</v>
      </c>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hidden="1">
      <c r="A243" s="5" t="s">
        <v>189</v>
      </c>
      <c r="B243" s="5">
        <v>2018.0</v>
      </c>
      <c r="C243" s="5" t="s">
        <v>236</v>
      </c>
      <c r="D243" s="5" t="s">
        <v>885</v>
      </c>
      <c r="E243" s="5" t="s">
        <v>473</v>
      </c>
      <c r="F243" s="5" t="s">
        <v>474</v>
      </c>
      <c r="G243" s="5" t="s">
        <v>475</v>
      </c>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hidden="1">
      <c r="A244" s="5" t="s">
        <v>189</v>
      </c>
      <c r="B244" s="5">
        <v>2018.0</v>
      </c>
      <c r="C244" s="5" t="s">
        <v>236</v>
      </c>
      <c r="D244" s="5" t="s">
        <v>886</v>
      </c>
      <c r="E244" s="5" t="s">
        <v>473</v>
      </c>
      <c r="F244" s="5" t="s">
        <v>474</v>
      </c>
      <c r="G244" s="5" t="s">
        <v>475</v>
      </c>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hidden="1">
      <c r="A245" s="5" t="s">
        <v>189</v>
      </c>
      <c r="B245" s="5">
        <v>2018.0</v>
      </c>
      <c r="C245" s="5" t="s">
        <v>236</v>
      </c>
      <c r="D245" s="5" t="s">
        <v>887</v>
      </c>
      <c r="E245" s="5" t="s">
        <v>473</v>
      </c>
      <c r="F245" s="5" t="s">
        <v>474</v>
      </c>
      <c r="G245" s="5" t="s">
        <v>475</v>
      </c>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hidden="1">
      <c r="A246" s="5" t="s">
        <v>189</v>
      </c>
      <c r="B246" s="5">
        <v>2018.0</v>
      </c>
      <c r="C246" s="5" t="s">
        <v>236</v>
      </c>
      <c r="D246" s="5" t="s">
        <v>888</v>
      </c>
      <c r="E246" s="5" t="s">
        <v>473</v>
      </c>
      <c r="F246" s="5" t="s">
        <v>474</v>
      </c>
      <c r="G246" s="5" t="s">
        <v>475</v>
      </c>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hidden="1">
      <c r="A247" s="5" t="s">
        <v>189</v>
      </c>
      <c r="B247" s="5">
        <v>2018.0</v>
      </c>
      <c r="C247" s="5" t="s">
        <v>236</v>
      </c>
      <c r="D247" s="5" t="s">
        <v>889</v>
      </c>
      <c r="E247" s="5" t="s">
        <v>473</v>
      </c>
      <c r="F247" s="5" t="s">
        <v>474</v>
      </c>
      <c r="G247" s="5" t="s">
        <v>492</v>
      </c>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hidden="1">
      <c r="A248" s="5" t="s">
        <v>189</v>
      </c>
      <c r="B248" s="5">
        <v>2018.0</v>
      </c>
      <c r="C248" s="5" t="s">
        <v>236</v>
      </c>
      <c r="D248" s="5" t="s">
        <v>890</v>
      </c>
      <c r="E248" s="5" t="s">
        <v>473</v>
      </c>
      <c r="F248" s="5" t="s">
        <v>481</v>
      </c>
      <c r="G248" s="5" t="s">
        <v>475</v>
      </c>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hidden="1">
      <c r="A249" s="5" t="s">
        <v>189</v>
      </c>
      <c r="B249" s="5">
        <v>2018.0</v>
      </c>
      <c r="C249" s="5" t="s">
        <v>236</v>
      </c>
      <c r="D249" s="5" t="s">
        <v>891</v>
      </c>
      <c r="E249" s="5" t="s">
        <v>473</v>
      </c>
      <c r="F249" s="5" t="s">
        <v>474</v>
      </c>
      <c r="G249" s="5" t="s">
        <v>492</v>
      </c>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hidden="1">
      <c r="A250" s="5" t="s">
        <v>189</v>
      </c>
      <c r="B250" s="5">
        <v>2018.0</v>
      </c>
      <c r="C250" s="5" t="s">
        <v>236</v>
      </c>
      <c r="D250" s="5" t="s">
        <v>892</v>
      </c>
      <c r="E250" s="5" t="s">
        <v>473</v>
      </c>
      <c r="F250" s="5" t="s">
        <v>474</v>
      </c>
      <c r="G250" s="5" t="s">
        <v>475</v>
      </c>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hidden="1">
      <c r="A251" s="5" t="s">
        <v>189</v>
      </c>
      <c r="B251" s="5">
        <v>2018.0</v>
      </c>
      <c r="C251" s="5" t="s">
        <v>236</v>
      </c>
      <c r="D251" s="5" t="s">
        <v>893</v>
      </c>
      <c r="E251" s="5" t="s">
        <v>473</v>
      </c>
      <c r="F251" s="5" t="s">
        <v>474</v>
      </c>
      <c r="G251" s="5" t="s">
        <v>492</v>
      </c>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hidden="1">
      <c r="A252" s="5" t="s">
        <v>189</v>
      </c>
      <c r="B252" s="5">
        <v>2018.0</v>
      </c>
      <c r="C252" s="5" t="s">
        <v>236</v>
      </c>
      <c r="D252" s="5" t="s">
        <v>894</v>
      </c>
      <c r="E252" s="5" t="s">
        <v>473</v>
      </c>
      <c r="F252" s="5" t="s">
        <v>474</v>
      </c>
      <c r="G252" s="5" t="s">
        <v>475</v>
      </c>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hidden="1">
      <c r="A253" s="5" t="s">
        <v>189</v>
      </c>
      <c r="B253" s="5">
        <v>2018.0</v>
      </c>
      <c r="C253" s="5" t="s">
        <v>236</v>
      </c>
      <c r="D253" s="5" t="s">
        <v>895</v>
      </c>
      <c r="E253" s="5" t="s">
        <v>473</v>
      </c>
      <c r="F253" s="5" t="s">
        <v>481</v>
      </c>
      <c r="G253" s="5" t="s">
        <v>492</v>
      </c>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hidden="1">
      <c r="A254" s="5" t="s">
        <v>189</v>
      </c>
      <c r="B254" s="5">
        <v>2018.0</v>
      </c>
      <c r="C254" s="5" t="s">
        <v>236</v>
      </c>
      <c r="D254" s="5" t="s">
        <v>896</v>
      </c>
      <c r="E254" s="5" t="s">
        <v>473</v>
      </c>
      <c r="F254" s="5" t="s">
        <v>481</v>
      </c>
      <c r="G254" s="5" t="s">
        <v>475</v>
      </c>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hidden="1">
      <c r="A255" s="5" t="s">
        <v>189</v>
      </c>
      <c r="B255" s="5">
        <v>2018.0</v>
      </c>
      <c r="C255" s="5" t="s">
        <v>236</v>
      </c>
      <c r="D255" s="5" t="s">
        <v>897</v>
      </c>
      <c r="E255" s="5" t="s">
        <v>473</v>
      </c>
      <c r="F255" s="5" t="s">
        <v>474</v>
      </c>
      <c r="G255" s="5" t="s">
        <v>475</v>
      </c>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hidden="1">
      <c r="A256" s="5" t="s">
        <v>189</v>
      </c>
      <c r="B256" s="5">
        <v>2018.0</v>
      </c>
      <c r="C256" s="5" t="s">
        <v>236</v>
      </c>
      <c r="D256" s="5" t="s">
        <v>898</v>
      </c>
      <c r="E256" s="5" t="s">
        <v>473</v>
      </c>
      <c r="F256" s="5" t="s">
        <v>474</v>
      </c>
      <c r="G256" s="5" t="s">
        <v>488</v>
      </c>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hidden="1">
      <c r="A257" s="5" t="s">
        <v>76</v>
      </c>
      <c r="B257" s="5">
        <v>2011.0</v>
      </c>
      <c r="C257" s="5" t="s">
        <v>445</v>
      </c>
      <c r="D257" s="5" t="s">
        <v>899</v>
      </c>
      <c r="E257" s="5" t="s">
        <v>514</v>
      </c>
      <c r="F257" s="5" t="s">
        <v>481</v>
      </c>
      <c r="G257" s="5" t="s">
        <v>475</v>
      </c>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hidden="1">
      <c r="A258" s="5" t="s">
        <v>76</v>
      </c>
      <c r="B258" s="5">
        <v>2011.0</v>
      </c>
      <c r="C258" s="5" t="s">
        <v>445</v>
      </c>
      <c r="D258" s="5" t="s">
        <v>900</v>
      </c>
      <c r="E258" s="5" t="s">
        <v>514</v>
      </c>
      <c r="F258" s="5" t="s">
        <v>481</v>
      </c>
      <c r="G258" s="5" t="s">
        <v>475</v>
      </c>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hidden="1">
      <c r="A259" s="5" t="s">
        <v>76</v>
      </c>
      <c r="B259" s="5">
        <v>2011.0</v>
      </c>
      <c r="C259" s="5" t="s">
        <v>901</v>
      </c>
      <c r="D259" s="5" t="s">
        <v>902</v>
      </c>
      <c r="E259" s="5" t="s">
        <v>514</v>
      </c>
      <c r="F259" s="5" t="s">
        <v>481</v>
      </c>
      <c r="G259" s="5" t="s">
        <v>475</v>
      </c>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hidden="1">
      <c r="A260" s="5" t="s">
        <v>76</v>
      </c>
      <c r="B260" s="5">
        <v>2011.0</v>
      </c>
      <c r="C260" s="5" t="s">
        <v>901</v>
      </c>
      <c r="D260" s="5" t="s">
        <v>903</v>
      </c>
      <c r="E260" s="5" t="s">
        <v>514</v>
      </c>
      <c r="F260" s="5" t="s">
        <v>481</v>
      </c>
      <c r="G260" s="5" t="s">
        <v>475</v>
      </c>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hidden="1">
      <c r="A261" s="5" t="s">
        <v>76</v>
      </c>
      <c r="B261" s="5">
        <v>2011.0</v>
      </c>
      <c r="C261" s="5" t="s">
        <v>901</v>
      </c>
      <c r="D261" s="5" t="s">
        <v>904</v>
      </c>
      <c r="E261" s="5" t="s">
        <v>514</v>
      </c>
      <c r="F261" s="5" t="s">
        <v>481</v>
      </c>
      <c r="G261" s="5" t="s">
        <v>475</v>
      </c>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hidden="1">
      <c r="A262" s="5" t="s">
        <v>76</v>
      </c>
      <c r="B262" s="5">
        <v>2011.0</v>
      </c>
      <c r="C262" s="5" t="s">
        <v>901</v>
      </c>
      <c r="D262" s="5" t="s">
        <v>905</v>
      </c>
      <c r="E262" s="5" t="s">
        <v>514</v>
      </c>
      <c r="F262" s="5" t="s">
        <v>474</v>
      </c>
      <c r="G262" s="5" t="s">
        <v>475</v>
      </c>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hidden="1">
      <c r="A263" s="5" t="s">
        <v>76</v>
      </c>
      <c r="B263" s="5">
        <v>2011.0</v>
      </c>
      <c r="C263" s="5" t="s">
        <v>901</v>
      </c>
      <c r="D263" s="5" t="s">
        <v>906</v>
      </c>
      <c r="E263" s="5" t="s">
        <v>514</v>
      </c>
      <c r="F263" s="5" t="s">
        <v>474</v>
      </c>
      <c r="G263" s="5" t="s">
        <v>475</v>
      </c>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hidden="1">
      <c r="A264" s="5" t="s">
        <v>76</v>
      </c>
      <c r="B264" s="5">
        <v>2011.0</v>
      </c>
      <c r="C264" s="5" t="s">
        <v>901</v>
      </c>
      <c r="D264" s="5" t="s">
        <v>907</v>
      </c>
      <c r="E264" s="5" t="s">
        <v>514</v>
      </c>
      <c r="F264" s="5" t="s">
        <v>481</v>
      </c>
      <c r="G264" s="5" t="s">
        <v>475</v>
      </c>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hidden="1">
      <c r="A265" s="5" t="s">
        <v>76</v>
      </c>
      <c r="B265" s="5">
        <v>2011.0</v>
      </c>
      <c r="C265" s="5" t="s">
        <v>901</v>
      </c>
      <c r="D265" s="5" t="s">
        <v>908</v>
      </c>
      <c r="E265" s="5" t="s">
        <v>514</v>
      </c>
      <c r="F265" s="5" t="s">
        <v>481</v>
      </c>
      <c r="G265" s="5" t="s">
        <v>475</v>
      </c>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hidden="1">
      <c r="A266" s="5" t="s">
        <v>76</v>
      </c>
      <c r="B266" s="5">
        <v>2011.0</v>
      </c>
      <c r="C266" s="5" t="s">
        <v>901</v>
      </c>
      <c r="D266" s="5" t="s">
        <v>909</v>
      </c>
      <c r="E266" s="5" t="s">
        <v>514</v>
      </c>
      <c r="F266" s="5" t="s">
        <v>481</v>
      </c>
      <c r="G266" s="5" t="s">
        <v>475</v>
      </c>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5" t="s">
        <v>114</v>
      </c>
      <c r="B267" s="5">
        <v>2016.0</v>
      </c>
      <c r="C267" s="5" t="s">
        <v>375</v>
      </c>
      <c r="D267" s="5" t="s">
        <v>910</v>
      </c>
      <c r="E267" s="5" t="s">
        <v>473</v>
      </c>
      <c r="F267" s="5" t="s">
        <v>474</v>
      </c>
      <c r="G267" s="5" t="s">
        <v>651</v>
      </c>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c r="A268" s="5" t="s">
        <v>114</v>
      </c>
      <c r="B268" s="5">
        <v>2016.0</v>
      </c>
      <c r="C268" s="5" t="s">
        <v>375</v>
      </c>
      <c r="D268" s="5" t="s">
        <v>911</v>
      </c>
      <c r="E268" s="5" t="s">
        <v>473</v>
      </c>
      <c r="F268" s="5" t="s">
        <v>481</v>
      </c>
      <c r="G268" s="5" t="s">
        <v>651</v>
      </c>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5" t="s">
        <v>114</v>
      </c>
      <c r="B269" s="5">
        <v>2016.0</v>
      </c>
      <c r="C269" s="5" t="s">
        <v>375</v>
      </c>
      <c r="D269" s="5" t="s">
        <v>912</v>
      </c>
      <c r="E269" s="5" t="s">
        <v>473</v>
      </c>
      <c r="F269" s="5" t="s">
        <v>481</v>
      </c>
      <c r="G269" s="5" t="s">
        <v>651</v>
      </c>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c r="A270" s="5" t="s">
        <v>114</v>
      </c>
      <c r="B270" s="5">
        <v>2016.0</v>
      </c>
      <c r="C270" s="5" t="s">
        <v>375</v>
      </c>
      <c r="D270" s="5" t="s">
        <v>913</v>
      </c>
      <c r="E270" s="5" t="s">
        <v>473</v>
      </c>
      <c r="F270" s="5" t="s">
        <v>474</v>
      </c>
      <c r="G270" s="5" t="s">
        <v>492</v>
      </c>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5" t="s">
        <v>114</v>
      </c>
      <c r="B271" s="5">
        <v>2016.0</v>
      </c>
      <c r="C271" s="5" t="s">
        <v>375</v>
      </c>
      <c r="D271" s="5" t="s">
        <v>914</v>
      </c>
      <c r="E271" s="5" t="s">
        <v>473</v>
      </c>
      <c r="F271" s="5" t="s">
        <v>474</v>
      </c>
      <c r="G271" s="5" t="s">
        <v>492</v>
      </c>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c r="A272" s="5" t="s">
        <v>114</v>
      </c>
      <c r="B272" s="5">
        <v>2016.0</v>
      </c>
      <c r="C272" s="5" t="s">
        <v>375</v>
      </c>
      <c r="D272" s="5" t="s">
        <v>915</v>
      </c>
      <c r="E272" s="5" t="s">
        <v>473</v>
      </c>
      <c r="F272" s="5" t="s">
        <v>474</v>
      </c>
      <c r="G272" s="5" t="s">
        <v>492</v>
      </c>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5" t="s">
        <v>114</v>
      </c>
      <c r="B273" s="5">
        <v>2016.0</v>
      </c>
      <c r="C273" s="5" t="s">
        <v>375</v>
      </c>
      <c r="D273" s="5" t="s">
        <v>916</v>
      </c>
      <c r="E273" s="5" t="s">
        <v>473</v>
      </c>
      <c r="F273" s="5" t="s">
        <v>474</v>
      </c>
      <c r="G273" s="5" t="s">
        <v>492</v>
      </c>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c r="A274" s="5" t="s">
        <v>114</v>
      </c>
      <c r="B274" s="5">
        <v>2016.0</v>
      </c>
      <c r="C274" s="5" t="s">
        <v>375</v>
      </c>
      <c r="D274" s="5" t="s">
        <v>917</v>
      </c>
      <c r="E274" s="5" t="s">
        <v>473</v>
      </c>
      <c r="F274" s="5" t="s">
        <v>474</v>
      </c>
      <c r="G274" s="5" t="s">
        <v>492</v>
      </c>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5" t="s">
        <v>114</v>
      </c>
      <c r="B275" s="5">
        <v>2016.0</v>
      </c>
      <c r="C275" s="5" t="s">
        <v>375</v>
      </c>
      <c r="D275" s="5" t="s">
        <v>918</v>
      </c>
      <c r="E275" s="5" t="s">
        <v>473</v>
      </c>
      <c r="F275" s="5" t="s">
        <v>474</v>
      </c>
      <c r="G275" s="5" t="s">
        <v>492</v>
      </c>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c r="A276" s="5" t="s">
        <v>114</v>
      </c>
      <c r="B276" s="5">
        <v>2016.0</v>
      </c>
      <c r="C276" s="5" t="s">
        <v>375</v>
      </c>
      <c r="D276" s="5" t="s">
        <v>919</v>
      </c>
      <c r="E276" s="5" t="s">
        <v>473</v>
      </c>
      <c r="F276" s="5" t="s">
        <v>474</v>
      </c>
      <c r="G276" s="5" t="s">
        <v>492</v>
      </c>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5" t="s">
        <v>114</v>
      </c>
      <c r="B277" s="5">
        <v>2016.0</v>
      </c>
      <c r="C277" s="5" t="s">
        <v>375</v>
      </c>
      <c r="D277" s="5" t="s">
        <v>920</v>
      </c>
      <c r="E277" s="5" t="s">
        <v>473</v>
      </c>
      <c r="F277" s="5" t="s">
        <v>474</v>
      </c>
      <c r="G277" s="5" t="s">
        <v>492</v>
      </c>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c r="A278" s="5" t="s">
        <v>114</v>
      </c>
      <c r="B278" s="5">
        <v>2016.0</v>
      </c>
      <c r="C278" s="5" t="s">
        <v>375</v>
      </c>
      <c r="D278" s="5" t="s">
        <v>921</v>
      </c>
      <c r="E278" s="5" t="s">
        <v>473</v>
      </c>
      <c r="F278" s="5" t="s">
        <v>474</v>
      </c>
      <c r="G278" s="5" t="s">
        <v>492</v>
      </c>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5" t="s">
        <v>114</v>
      </c>
      <c r="B279" s="5">
        <v>2016.0</v>
      </c>
      <c r="C279" s="5" t="s">
        <v>375</v>
      </c>
      <c r="D279" s="5" t="s">
        <v>922</v>
      </c>
      <c r="E279" s="5" t="s">
        <v>473</v>
      </c>
      <c r="F279" s="5" t="s">
        <v>474</v>
      </c>
      <c r="G279" s="5" t="s">
        <v>492</v>
      </c>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c r="A280" s="5" t="s">
        <v>114</v>
      </c>
      <c r="B280" s="5">
        <v>2016.0</v>
      </c>
      <c r="C280" s="5" t="s">
        <v>375</v>
      </c>
      <c r="D280" s="5" t="s">
        <v>923</v>
      </c>
      <c r="E280" s="5" t="s">
        <v>473</v>
      </c>
      <c r="F280" s="5" t="s">
        <v>474</v>
      </c>
      <c r="G280" s="5" t="s">
        <v>492</v>
      </c>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5" t="s">
        <v>114</v>
      </c>
      <c r="B281" s="5">
        <v>2016.0</v>
      </c>
      <c r="C281" s="5" t="s">
        <v>375</v>
      </c>
      <c r="D281" s="5" t="s">
        <v>924</v>
      </c>
      <c r="E281" s="5" t="s">
        <v>473</v>
      </c>
      <c r="F281" s="5" t="s">
        <v>474</v>
      </c>
      <c r="G281" s="5" t="s">
        <v>492</v>
      </c>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c r="A282" s="5" t="s">
        <v>114</v>
      </c>
      <c r="B282" s="5">
        <v>2016.0</v>
      </c>
      <c r="C282" s="5" t="s">
        <v>375</v>
      </c>
      <c r="D282" s="5" t="s">
        <v>925</v>
      </c>
      <c r="E282" s="5" t="s">
        <v>473</v>
      </c>
      <c r="F282" s="5" t="s">
        <v>481</v>
      </c>
      <c r="G282" s="5" t="s">
        <v>492</v>
      </c>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5" t="s">
        <v>114</v>
      </c>
      <c r="B283" s="5">
        <v>2016.0</v>
      </c>
      <c r="C283" s="5" t="s">
        <v>375</v>
      </c>
      <c r="D283" s="5" t="s">
        <v>926</v>
      </c>
      <c r="E283" s="5" t="s">
        <v>473</v>
      </c>
      <c r="F283" s="5" t="s">
        <v>481</v>
      </c>
      <c r="G283" s="5" t="s">
        <v>492</v>
      </c>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c r="A284" s="5" t="s">
        <v>114</v>
      </c>
      <c r="B284" s="5">
        <v>2016.0</v>
      </c>
      <c r="C284" s="5" t="s">
        <v>375</v>
      </c>
      <c r="D284" s="5" t="s">
        <v>927</v>
      </c>
      <c r="E284" s="5" t="s">
        <v>473</v>
      </c>
      <c r="F284" s="5" t="s">
        <v>481</v>
      </c>
      <c r="G284" s="5" t="s">
        <v>492</v>
      </c>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5" t="s">
        <v>114</v>
      </c>
      <c r="B285" s="5">
        <v>2016.0</v>
      </c>
      <c r="C285" s="5" t="s">
        <v>375</v>
      </c>
      <c r="D285" s="5" t="s">
        <v>928</v>
      </c>
      <c r="E285" s="5" t="s">
        <v>473</v>
      </c>
      <c r="F285" s="5" t="s">
        <v>481</v>
      </c>
      <c r="G285" s="5" t="s">
        <v>492</v>
      </c>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c r="A286" s="5" t="s">
        <v>114</v>
      </c>
      <c r="B286" s="5">
        <v>2016.0</v>
      </c>
      <c r="C286" s="5" t="s">
        <v>375</v>
      </c>
      <c r="D286" s="5" t="s">
        <v>929</v>
      </c>
      <c r="E286" s="5" t="s">
        <v>473</v>
      </c>
      <c r="F286" s="5" t="s">
        <v>481</v>
      </c>
      <c r="G286" s="5" t="s">
        <v>492</v>
      </c>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5" t="s">
        <v>114</v>
      </c>
      <c r="B287" s="5">
        <v>2016.0</v>
      </c>
      <c r="C287" s="5" t="s">
        <v>375</v>
      </c>
      <c r="D287" s="5" t="s">
        <v>930</v>
      </c>
      <c r="E287" s="5" t="s">
        <v>473</v>
      </c>
      <c r="F287" s="5" t="s">
        <v>481</v>
      </c>
      <c r="G287" s="5" t="s">
        <v>492</v>
      </c>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c r="A288" s="5" t="s">
        <v>114</v>
      </c>
      <c r="B288" s="5">
        <v>2016.0</v>
      </c>
      <c r="C288" s="5" t="s">
        <v>375</v>
      </c>
      <c r="D288" s="5" t="s">
        <v>931</v>
      </c>
      <c r="E288" s="5" t="s">
        <v>473</v>
      </c>
      <c r="F288" s="5" t="s">
        <v>481</v>
      </c>
      <c r="G288" s="5" t="s">
        <v>492</v>
      </c>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5" t="s">
        <v>114</v>
      </c>
      <c r="B289" s="5">
        <v>2016.0</v>
      </c>
      <c r="C289" s="5" t="s">
        <v>375</v>
      </c>
      <c r="D289" s="5" t="s">
        <v>932</v>
      </c>
      <c r="E289" s="5" t="s">
        <v>473</v>
      </c>
      <c r="F289" s="5" t="s">
        <v>481</v>
      </c>
      <c r="G289" s="5" t="s">
        <v>492</v>
      </c>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c r="A290" s="5" t="s">
        <v>114</v>
      </c>
      <c r="B290" s="5">
        <v>2016.0</v>
      </c>
      <c r="C290" s="5" t="s">
        <v>375</v>
      </c>
      <c r="D290" s="5" t="s">
        <v>933</v>
      </c>
      <c r="E290" s="5" t="s">
        <v>473</v>
      </c>
      <c r="F290" s="5" t="s">
        <v>481</v>
      </c>
      <c r="G290" s="5" t="s">
        <v>492</v>
      </c>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5" t="s">
        <v>114</v>
      </c>
      <c r="B291" s="5">
        <v>2016.0</v>
      </c>
      <c r="C291" s="5" t="s">
        <v>375</v>
      </c>
      <c r="D291" s="5" t="s">
        <v>934</v>
      </c>
      <c r="E291" s="5" t="s">
        <v>473</v>
      </c>
      <c r="F291" s="5" t="s">
        <v>481</v>
      </c>
      <c r="G291" s="5" t="s">
        <v>492</v>
      </c>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c r="A292" s="5" t="s">
        <v>114</v>
      </c>
      <c r="B292" s="5">
        <v>2016.0</v>
      </c>
      <c r="C292" s="5" t="s">
        <v>375</v>
      </c>
      <c r="D292" s="5" t="s">
        <v>935</v>
      </c>
      <c r="E292" s="5" t="s">
        <v>473</v>
      </c>
      <c r="F292" s="5" t="s">
        <v>481</v>
      </c>
      <c r="G292" s="5" t="s">
        <v>492</v>
      </c>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5" t="s">
        <v>114</v>
      </c>
      <c r="B293" s="5">
        <v>2016.0</v>
      </c>
      <c r="C293" s="5" t="s">
        <v>375</v>
      </c>
      <c r="D293" s="5" t="s">
        <v>936</v>
      </c>
      <c r="E293" s="5" t="s">
        <v>473</v>
      </c>
      <c r="F293" s="5" t="s">
        <v>481</v>
      </c>
      <c r="G293" s="5" t="s">
        <v>492</v>
      </c>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c r="A294" s="5" t="s">
        <v>114</v>
      </c>
      <c r="B294" s="5">
        <v>2016.0</v>
      </c>
      <c r="C294" s="5" t="s">
        <v>375</v>
      </c>
      <c r="D294" s="5" t="s">
        <v>937</v>
      </c>
      <c r="E294" s="5" t="s">
        <v>473</v>
      </c>
      <c r="F294" s="5" t="s">
        <v>474</v>
      </c>
      <c r="G294" s="5" t="s">
        <v>488</v>
      </c>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5" t="s">
        <v>114</v>
      </c>
      <c r="B295" s="5">
        <v>2016.0</v>
      </c>
      <c r="C295" s="5" t="s">
        <v>375</v>
      </c>
      <c r="D295" s="5" t="s">
        <v>938</v>
      </c>
      <c r="E295" s="5" t="s">
        <v>473</v>
      </c>
      <c r="F295" s="5" t="s">
        <v>481</v>
      </c>
      <c r="G295" s="5" t="s">
        <v>488</v>
      </c>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c r="A296" s="5" t="s">
        <v>114</v>
      </c>
      <c r="B296" s="5">
        <v>2016.0</v>
      </c>
      <c r="C296" s="5" t="s">
        <v>375</v>
      </c>
      <c r="D296" s="5" t="s">
        <v>939</v>
      </c>
      <c r="E296" s="5" t="s">
        <v>473</v>
      </c>
      <c r="F296" s="5" t="s">
        <v>474</v>
      </c>
      <c r="G296" s="5" t="s">
        <v>940</v>
      </c>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5" t="s">
        <v>114</v>
      </c>
      <c r="B297" s="5">
        <v>2016.0</v>
      </c>
      <c r="C297" s="5" t="s">
        <v>375</v>
      </c>
      <c r="D297" s="5" t="s">
        <v>941</v>
      </c>
      <c r="E297" s="5" t="s">
        <v>473</v>
      </c>
      <c r="F297" s="5" t="s">
        <v>474</v>
      </c>
      <c r="G297" s="5" t="s">
        <v>475</v>
      </c>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c r="A298" s="5" t="s">
        <v>114</v>
      </c>
      <c r="B298" s="5">
        <v>2016.0</v>
      </c>
      <c r="C298" s="5" t="s">
        <v>375</v>
      </c>
      <c r="D298" s="5" t="s">
        <v>942</v>
      </c>
      <c r="E298" s="5" t="s">
        <v>473</v>
      </c>
      <c r="F298" s="5" t="s">
        <v>474</v>
      </c>
      <c r="G298" s="5" t="s">
        <v>475</v>
      </c>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5" t="s">
        <v>114</v>
      </c>
      <c r="B299" s="5">
        <v>2016.0</v>
      </c>
      <c r="C299" s="5" t="s">
        <v>375</v>
      </c>
      <c r="D299" s="5" t="s">
        <v>943</v>
      </c>
      <c r="E299" s="5" t="s">
        <v>473</v>
      </c>
      <c r="F299" s="5" t="s">
        <v>474</v>
      </c>
      <c r="G299" s="5" t="s">
        <v>475</v>
      </c>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c r="A300" s="5" t="s">
        <v>114</v>
      </c>
      <c r="B300" s="5">
        <v>2016.0</v>
      </c>
      <c r="C300" s="5" t="s">
        <v>375</v>
      </c>
      <c r="D300" s="5" t="s">
        <v>944</v>
      </c>
      <c r="E300" s="5" t="s">
        <v>473</v>
      </c>
      <c r="F300" s="5" t="s">
        <v>474</v>
      </c>
      <c r="G300" s="5" t="s">
        <v>475</v>
      </c>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5" t="s">
        <v>114</v>
      </c>
      <c r="B301" s="5">
        <v>2016.0</v>
      </c>
      <c r="C301" s="5" t="s">
        <v>375</v>
      </c>
      <c r="D301" s="5" t="s">
        <v>945</v>
      </c>
      <c r="E301" s="5" t="s">
        <v>473</v>
      </c>
      <c r="F301" s="5" t="s">
        <v>474</v>
      </c>
      <c r="G301" s="5" t="s">
        <v>475</v>
      </c>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c r="A302" s="5" t="s">
        <v>114</v>
      </c>
      <c r="B302" s="5">
        <v>2016.0</v>
      </c>
      <c r="C302" s="5" t="s">
        <v>375</v>
      </c>
      <c r="D302" s="5" t="s">
        <v>946</v>
      </c>
      <c r="E302" s="5" t="s">
        <v>473</v>
      </c>
      <c r="F302" s="5" t="s">
        <v>474</v>
      </c>
      <c r="G302" s="5" t="s">
        <v>475</v>
      </c>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5" t="s">
        <v>114</v>
      </c>
      <c r="B303" s="5">
        <v>2016.0</v>
      </c>
      <c r="C303" s="5" t="s">
        <v>375</v>
      </c>
      <c r="D303" s="5" t="s">
        <v>947</v>
      </c>
      <c r="E303" s="5" t="s">
        <v>473</v>
      </c>
      <c r="F303" s="5" t="s">
        <v>474</v>
      </c>
      <c r="G303" s="5" t="s">
        <v>475</v>
      </c>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c r="A304" s="5" t="s">
        <v>114</v>
      </c>
      <c r="B304" s="5">
        <v>2016.0</v>
      </c>
      <c r="C304" s="5" t="s">
        <v>375</v>
      </c>
      <c r="D304" s="5" t="s">
        <v>948</v>
      </c>
      <c r="E304" s="5" t="s">
        <v>473</v>
      </c>
      <c r="F304" s="5" t="s">
        <v>474</v>
      </c>
      <c r="G304" s="5" t="s">
        <v>475</v>
      </c>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5" t="s">
        <v>114</v>
      </c>
      <c r="B305" s="5">
        <v>2016.0</v>
      </c>
      <c r="C305" s="5" t="s">
        <v>375</v>
      </c>
      <c r="D305" s="5" t="s">
        <v>949</v>
      </c>
      <c r="E305" s="5" t="s">
        <v>473</v>
      </c>
      <c r="F305" s="5" t="s">
        <v>474</v>
      </c>
      <c r="G305" s="5" t="s">
        <v>475</v>
      </c>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c r="A306" s="5" t="s">
        <v>114</v>
      </c>
      <c r="B306" s="5">
        <v>2016.0</v>
      </c>
      <c r="C306" s="5" t="s">
        <v>375</v>
      </c>
      <c r="D306" s="5" t="s">
        <v>950</v>
      </c>
      <c r="E306" s="5" t="s">
        <v>473</v>
      </c>
      <c r="F306" s="5" t="s">
        <v>474</v>
      </c>
      <c r="G306" s="5" t="s">
        <v>475</v>
      </c>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5" t="s">
        <v>114</v>
      </c>
      <c r="B307" s="5">
        <v>2016.0</v>
      </c>
      <c r="C307" s="5" t="s">
        <v>375</v>
      </c>
      <c r="D307" s="5" t="s">
        <v>951</v>
      </c>
      <c r="E307" s="5" t="s">
        <v>473</v>
      </c>
      <c r="F307" s="5" t="s">
        <v>474</v>
      </c>
      <c r="G307" s="5" t="s">
        <v>475</v>
      </c>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c r="A308" s="5" t="s">
        <v>114</v>
      </c>
      <c r="B308" s="5">
        <v>2016.0</v>
      </c>
      <c r="C308" s="5" t="s">
        <v>375</v>
      </c>
      <c r="D308" s="5" t="s">
        <v>952</v>
      </c>
      <c r="E308" s="5" t="s">
        <v>473</v>
      </c>
      <c r="F308" s="5" t="s">
        <v>474</v>
      </c>
      <c r="G308" s="5" t="s">
        <v>475</v>
      </c>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5" t="s">
        <v>114</v>
      </c>
      <c r="B309" s="5">
        <v>2016.0</v>
      </c>
      <c r="C309" s="5" t="s">
        <v>375</v>
      </c>
      <c r="D309" s="5" t="s">
        <v>953</v>
      </c>
      <c r="E309" s="5" t="s">
        <v>473</v>
      </c>
      <c r="F309" s="5" t="s">
        <v>481</v>
      </c>
      <c r="G309" s="5" t="s">
        <v>475</v>
      </c>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c r="A310" s="5" t="s">
        <v>114</v>
      </c>
      <c r="B310" s="5">
        <v>2016.0</v>
      </c>
      <c r="C310" s="5" t="s">
        <v>375</v>
      </c>
      <c r="D310" s="5" t="s">
        <v>954</v>
      </c>
      <c r="E310" s="5" t="s">
        <v>473</v>
      </c>
      <c r="F310" s="5" t="s">
        <v>481</v>
      </c>
      <c r="G310" s="5" t="s">
        <v>475</v>
      </c>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5" t="s">
        <v>114</v>
      </c>
      <c r="B311" s="5">
        <v>2016.0</v>
      </c>
      <c r="C311" s="5" t="s">
        <v>375</v>
      </c>
      <c r="D311" s="5" t="s">
        <v>955</v>
      </c>
      <c r="E311" s="5" t="s">
        <v>473</v>
      </c>
      <c r="F311" s="5" t="s">
        <v>481</v>
      </c>
      <c r="G311" s="5" t="s">
        <v>475</v>
      </c>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c r="A312" s="5" t="s">
        <v>114</v>
      </c>
      <c r="B312" s="5">
        <v>2016.0</v>
      </c>
      <c r="C312" s="5" t="s">
        <v>375</v>
      </c>
      <c r="D312" s="5" t="s">
        <v>956</v>
      </c>
      <c r="E312" s="5" t="s">
        <v>473</v>
      </c>
      <c r="F312" s="5" t="s">
        <v>481</v>
      </c>
      <c r="G312" s="5" t="s">
        <v>475</v>
      </c>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5" t="s">
        <v>114</v>
      </c>
      <c r="B313" s="5">
        <v>2016.0</v>
      </c>
      <c r="C313" s="5" t="s">
        <v>375</v>
      </c>
      <c r="D313" s="5" t="s">
        <v>957</v>
      </c>
      <c r="E313" s="5" t="s">
        <v>473</v>
      </c>
      <c r="F313" s="5" t="s">
        <v>481</v>
      </c>
      <c r="G313" s="5" t="s">
        <v>475</v>
      </c>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c r="A314" s="5" t="s">
        <v>114</v>
      </c>
      <c r="B314" s="5">
        <v>2016.0</v>
      </c>
      <c r="C314" s="5" t="s">
        <v>375</v>
      </c>
      <c r="D314" s="5" t="s">
        <v>958</v>
      </c>
      <c r="E314" s="5" t="s">
        <v>473</v>
      </c>
      <c r="F314" s="5" t="s">
        <v>481</v>
      </c>
      <c r="G314" s="5" t="s">
        <v>475</v>
      </c>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5" t="s">
        <v>114</v>
      </c>
      <c r="B315" s="5">
        <v>2016.0</v>
      </c>
      <c r="C315" s="5" t="s">
        <v>375</v>
      </c>
      <c r="D315" s="5" t="s">
        <v>959</v>
      </c>
      <c r="E315" s="5" t="s">
        <v>473</v>
      </c>
      <c r="F315" s="5" t="s">
        <v>481</v>
      </c>
      <c r="G315" s="5" t="s">
        <v>475</v>
      </c>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c r="A316" s="5" t="s">
        <v>114</v>
      </c>
      <c r="B316" s="5">
        <v>2016.0</v>
      </c>
      <c r="C316" s="5" t="s">
        <v>375</v>
      </c>
      <c r="D316" s="5" t="s">
        <v>960</v>
      </c>
      <c r="E316" s="5" t="s">
        <v>473</v>
      </c>
      <c r="F316" s="5" t="s">
        <v>481</v>
      </c>
      <c r="G316" s="5" t="s">
        <v>475</v>
      </c>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5" t="s">
        <v>114</v>
      </c>
      <c r="B317" s="5">
        <v>2016.0</v>
      </c>
      <c r="C317" s="5" t="s">
        <v>375</v>
      </c>
      <c r="D317" s="5" t="s">
        <v>961</v>
      </c>
      <c r="E317" s="5" t="s">
        <v>473</v>
      </c>
      <c r="F317" s="5" t="s">
        <v>481</v>
      </c>
      <c r="G317" s="5" t="s">
        <v>475</v>
      </c>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c r="A318" s="5" t="s">
        <v>114</v>
      </c>
      <c r="B318" s="5">
        <v>2016.0</v>
      </c>
      <c r="C318" s="5" t="s">
        <v>375</v>
      </c>
      <c r="D318" s="5" t="s">
        <v>962</v>
      </c>
      <c r="E318" s="5" t="s">
        <v>473</v>
      </c>
      <c r="F318" s="5" t="s">
        <v>481</v>
      </c>
      <c r="G318" s="5" t="s">
        <v>475</v>
      </c>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5" t="s">
        <v>114</v>
      </c>
      <c r="B319" s="5">
        <v>2016.0</v>
      </c>
      <c r="C319" s="5" t="s">
        <v>375</v>
      </c>
      <c r="D319" s="5" t="s">
        <v>963</v>
      </c>
      <c r="E319" s="5" t="s">
        <v>473</v>
      </c>
      <c r="F319" s="5" t="s">
        <v>481</v>
      </c>
      <c r="G319" s="5" t="s">
        <v>475</v>
      </c>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c r="A320" s="5" t="s">
        <v>114</v>
      </c>
      <c r="B320" s="5">
        <v>2016.0</v>
      </c>
      <c r="C320" s="5" t="s">
        <v>375</v>
      </c>
      <c r="D320" s="5" t="s">
        <v>964</v>
      </c>
      <c r="E320" s="5" t="s">
        <v>473</v>
      </c>
      <c r="F320" s="5" t="s">
        <v>481</v>
      </c>
      <c r="G320" s="5" t="s">
        <v>475</v>
      </c>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5" t="s">
        <v>114</v>
      </c>
      <c r="B321" s="5">
        <v>2016.0</v>
      </c>
      <c r="C321" s="5" t="s">
        <v>375</v>
      </c>
      <c r="D321" s="5" t="s">
        <v>965</v>
      </c>
      <c r="E321" s="5" t="s">
        <v>473</v>
      </c>
      <c r="F321" s="5" t="s">
        <v>481</v>
      </c>
      <c r="G321" s="5" t="s">
        <v>475</v>
      </c>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c r="A322" s="5" t="s">
        <v>114</v>
      </c>
      <c r="B322" s="5">
        <v>2016.0</v>
      </c>
      <c r="C322" s="5" t="s">
        <v>375</v>
      </c>
      <c r="D322" s="5" t="s">
        <v>966</v>
      </c>
      <c r="E322" s="5" t="s">
        <v>473</v>
      </c>
      <c r="F322" s="5" t="s">
        <v>481</v>
      </c>
      <c r="G322" s="5" t="s">
        <v>475</v>
      </c>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5" t="s">
        <v>114</v>
      </c>
      <c r="B323" s="5">
        <v>2016.0</v>
      </c>
      <c r="C323" s="5" t="s">
        <v>375</v>
      </c>
      <c r="D323" s="5" t="s">
        <v>967</v>
      </c>
      <c r="E323" s="5" t="s">
        <v>473</v>
      </c>
      <c r="F323" s="5" t="s">
        <v>481</v>
      </c>
      <c r="G323" s="5" t="s">
        <v>475</v>
      </c>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c r="A324" s="5" t="s">
        <v>114</v>
      </c>
      <c r="B324" s="5">
        <v>2016.0</v>
      </c>
      <c r="C324" s="5" t="s">
        <v>375</v>
      </c>
      <c r="D324" s="5" t="s">
        <v>968</v>
      </c>
      <c r="E324" s="5" t="s">
        <v>473</v>
      </c>
      <c r="F324" s="5" t="s">
        <v>481</v>
      </c>
      <c r="G324" s="5" t="s">
        <v>475</v>
      </c>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5" t="s">
        <v>114</v>
      </c>
      <c r="B325" s="5">
        <v>2016.0</v>
      </c>
      <c r="C325" s="5" t="s">
        <v>375</v>
      </c>
      <c r="D325" s="5" t="s">
        <v>969</v>
      </c>
      <c r="E325" s="5" t="s">
        <v>473</v>
      </c>
      <c r="F325" s="5" t="s">
        <v>481</v>
      </c>
      <c r="G325" s="5" t="s">
        <v>475</v>
      </c>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c r="A326" s="5" t="s">
        <v>114</v>
      </c>
      <c r="B326" s="5">
        <v>2016.0</v>
      </c>
      <c r="C326" s="5" t="s">
        <v>375</v>
      </c>
      <c r="D326" s="5" t="s">
        <v>970</v>
      </c>
      <c r="E326" s="5" t="s">
        <v>473</v>
      </c>
      <c r="F326" s="5" t="s">
        <v>481</v>
      </c>
      <c r="G326" s="5" t="s">
        <v>475</v>
      </c>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5" t="s">
        <v>114</v>
      </c>
      <c r="B327" s="5">
        <v>2016.0</v>
      </c>
      <c r="C327" s="5" t="s">
        <v>375</v>
      </c>
      <c r="D327" s="5" t="s">
        <v>971</v>
      </c>
      <c r="E327" s="5" t="s">
        <v>473</v>
      </c>
      <c r="F327" s="5" t="s">
        <v>481</v>
      </c>
      <c r="G327" s="5" t="s">
        <v>475</v>
      </c>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c r="A328" s="5" t="s">
        <v>114</v>
      </c>
      <c r="B328" s="5">
        <v>2016.0</v>
      </c>
      <c r="C328" s="5" t="s">
        <v>375</v>
      </c>
      <c r="D328" s="5" t="s">
        <v>972</v>
      </c>
      <c r="E328" s="5" t="s">
        <v>473</v>
      </c>
      <c r="F328" s="5" t="s">
        <v>481</v>
      </c>
      <c r="G328" s="5" t="s">
        <v>475</v>
      </c>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5" t="s">
        <v>114</v>
      </c>
      <c r="B329" s="5">
        <v>2016.0</v>
      </c>
      <c r="C329" s="5" t="s">
        <v>375</v>
      </c>
      <c r="D329" s="5" t="s">
        <v>973</v>
      </c>
      <c r="E329" s="5" t="s">
        <v>473</v>
      </c>
      <c r="F329" s="5" t="s">
        <v>481</v>
      </c>
      <c r="G329" s="5" t="s">
        <v>475</v>
      </c>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c r="A330" s="5" t="s">
        <v>114</v>
      </c>
      <c r="B330" s="5">
        <v>2016.0</v>
      </c>
      <c r="C330" s="5" t="s">
        <v>375</v>
      </c>
      <c r="D330" s="5" t="s">
        <v>974</v>
      </c>
      <c r="E330" s="5" t="s">
        <v>473</v>
      </c>
      <c r="F330" s="5" t="s">
        <v>481</v>
      </c>
      <c r="G330" s="5" t="s">
        <v>475</v>
      </c>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5" t="s">
        <v>114</v>
      </c>
      <c r="B331" s="5">
        <v>2016.0</v>
      </c>
      <c r="C331" s="5" t="s">
        <v>375</v>
      </c>
      <c r="D331" s="5" t="s">
        <v>975</v>
      </c>
      <c r="E331" s="5" t="s">
        <v>473</v>
      </c>
      <c r="F331" s="5" t="s">
        <v>481</v>
      </c>
      <c r="G331" s="5" t="s">
        <v>475</v>
      </c>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c r="A332" s="5" t="s">
        <v>114</v>
      </c>
      <c r="B332" s="5">
        <v>2016.0</v>
      </c>
      <c r="C332" s="5" t="s">
        <v>375</v>
      </c>
      <c r="D332" s="5" t="s">
        <v>976</v>
      </c>
      <c r="E332" s="5" t="s">
        <v>473</v>
      </c>
      <c r="F332" s="5" t="s">
        <v>481</v>
      </c>
      <c r="G332" s="5" t="s">
        <v>475</v>
      </c>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5" t="s">
        <v>114</v>
      </c>
      <c r="B333" s="5">
        <v>2016.0</v>
      </c>
      <c r="C333" s="5" t="s">
        <v>375</v>
      </c>
      <c r="D333" s="5" t="s">
        <v>977</v>
      </c>
      <c r="E333" s="5" t="s">
        <v>473</v>
      </c>
      <c r="F333" s="5" t="s">
        <v>481</v>
      </c>
      <c r="G333" s="5" t="s">
        <v>475</v>
      </c>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c r="A334" s="5" t="s">
        <v>114</v>
      </c>
      <c r="B334" s="5">
        <v>2016.0</v>
      </c>
      <c r="C334" s="5" t="s">
        <v>375</v>
      </c>
      <c r="D334" s="5" t="s">
        <v>978</v>
      </c>
      <c r="E334" s="5" t="s">
        <v>473</v>
      </c>
      <c r="F334" s="5" t="s">
        <v>481</v>
      </c>
      <c r="G334" s="5" t="s">
        <v>475</v>
      </c>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5" t="s">
        <v>114</v>
      </c>
      <c r="B335" s="5">
        <v>2016.0</v>
      </c>
      <c r="C335" s="5" t="s">
        <v>375</v>
      </c>
      <c r="D335" s="5" t="s">
        <v>979</v>
      </c>
      <c r="E335" s="5" t="s">
        <v>473</v>
      </c>
      <c r="F335" s="5" t="s">
        <v>481</v>
      </c>
      <c r="G335" s="5" t="s">
        <v>475</v>
      </c>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c r="A336" s="5" t="s">
        <v>114</v>
      </c>
      <c r="B336" s="5">
        <v>2016.0</v>
      </c>
      <c r="C336" s="5" t="s">
        <v>375</v>
      </c>
      <c r="D336" s="5" t="s">
        <v>980</v>
      </c>
      <c r="E336" s="5" t="s">
        <v>473</v>
      </c>
      <c r="F336" s="5" t="s">
        <v>481</v>
      </c>
      <c r="G336" s="5" t="s">
        <v>475</v>
      </c>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5" t="s">
        <v>114</v>
      </c>
      <c r="B337" s="5">
        <v>2016.0</v>
      </c>
      <c r="C337" s="5" t="s">
        <v>375</v>
      </c>
      <c r="D337" s="5" t="s">
        <v>981</v>
      </c>
      <c r="E337" s="5" t="s">
        <v>473</v>
      </c>
      <c r="F337" s="5" t="s">
        <v>481</v>
      </c>
      <c r="G337" s="5" t="s">
        <v>475</v>
      </c>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hidden="1">
      <c r="A338" s="6"/>
      <c r="B338" s="6"/>
      <c r="C338" s="6"/>
      <c r="D338" s="6"/>
      <c r="E338" s="6"/>
      <c r="F338" s="6"/>
      <c r="G338" s="6"/>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hidden="1">
      <c r="A339" s="6"/>
      <c r="B339" s="6"/>
      <c r="C339" s="6"/>
      <c r="D339" s="6"/>
      <c r="E339" s="6"/>
      <c r="F339" s="6"/>
      <c r="G339" s="6"/>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hidden="1">
      <c r="A340" s="6"/>
      <c r="B340" s="6"/>
      <c r="C340" s="6"/>
      <c r="D340" s="6"/>
      <c r="E340" s="6"/>
      <c r="F340" s="6"/>
      <c r="G340" s="6"/>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hidden="1">
      <c r="A341" s="6"/>
      <c r="B341" s="6"/>
      <c r="C341" s="6"/>
      <c r="D341" s="6"/>
      <c r="E341" s="6"/>
      <c r="F341" s="6"/>
      <c r="G341" s="6"/>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hidden="1">
      <c r="A342" s="6"/>
      <c r="B342" s="6"/>
      <c r="C342" s="6"/>
      <c r="D342" s="6"/>
      <c r="E342" s="6"/>
      <c r="F342" s="6"/>
      <c r="G342" s="6"/>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hidden="1">
      <c r="A343" s="6"/>
      <c r="B343" s="6"/>
      <c r="C343" s="6"/>
      <c r="D343" s="6"/>
      <c r="E343" s="6"/>
      <c r="F343" s="6"/>
      <c r="G343" s="6"/>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hidden="1">
      <c r="A344" s="6"/>
      <c r="B344" s="6"/>
      <c r="C344" s="6"/>
      <c r="D344" s="6"/>
      <c r="E344" s="6"/>
      <c r="F344" s="6"/>
      <c r="G344" s="6"/>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hidden="1">
      <c r="A345" s="6"/>
      <c r="B345" s="6"/>
      <c r="C345" s="6"/>
      <c r="D345" s="6"/>
      <c r="E345" s="6"/>
      <c r="F345" s="6"/>
      <c r="G345" s="6"/>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hidden="1">
      <c r="A346" s="6"/>
      <c r="B346" s="6"/>
      <c r="C346" s="6"/>
      <c r="D346" s="6"/>
      <c r="E346" s="6"/>
      <c r="F346" s="6"/>
      <c r="G346" s="6"/>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hidden="1">
      <c r="A347" s="6"/>
      <c r="B347" s="6"/>
      <c r="C347" s="6"/>
      <c r="D347" s="6"/>
      <c r="E347" s="6"/>
      <c r="F347" s="6"/>
      <c r="G347" s="6"/>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hidden="1">
      <c r="A348" s="6"/>
      <c r="B348" s="6"/>
      <c r="C348" s="6"/>
      <c r="D348" s="6"/>
      <c r="E348" s="6"/>
      <c r="F348" s="6"/>
      <c r="G348" s="6"/>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hidden="1">
      <c r="A349" s="6"/>
      <c r="B349" s="6"/>
      <c r="C349" s="6"/>
      <c r="D349" s="6"/>
      <c r="E349" s="6"/>
      <c r="F349" s="6"/>
      <c r="G349" s="6"/>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hidden="1">
      <c r="A350" s="6"/>
      <c r="B350" s="6"/>
      <c r="C350" s="6"/>
      <c r="D350" s="6"/>
      <c r="E350" s="6"/>
      <c r="F350" s="6"/>
      <c r="G350" s="6"/>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hidden="1">
      <c r="A351" s="6"/>
      <c r="B351" s="6"/>
      <c r="C351" s="6"/>
      <c r="D351" s="6"/>
      <c r="E351" s="6"/>
      <c r="F351" s="6"/>
      <c r="G351" s="6"/>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hidden="1">
      <c r="A352" s="6"/>
      <c r="B352" s="6"/>
      <c r="C352" s="6"/>
      <c r="D352" s="6"/>
      <c r="E352" s="6"/>
      <c r="F352" s="6"/>
      <c r="G352" s="6"/>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hidden="1">
      <c r="A353" s="6"/>
      <c r="B353" s="6"/>
      <c r="C353" s="6"/>
      <c r="D353" s="6"/>
      <c r="E353" s="6"/>
      <c r="F353" s="6"/>
      <c r="G353" s="6"/>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hidden="1">
      <c r="A354" s="6"/>
      <c r="B354" s="6"/>
      <c r="C354" s="6"/>
      <c r="D354" s="6"/>
      <c r="E354" s="6"/>
      <c r="F354" s="6"/>
      <c r="G354" s="6"/>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hidden="1">
      <c r="A355" s="6"/>
      <c r="B355" s="6"/>
      <c r="C355" s="6"/>
      <c r="D355" s="6"/>
      <c r="E355" s="6"/>
      <c r="F355" s="6"/>
      <c r="G355" s="6"/>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hidden="1">
      <c r="A356" s="6"/>
      <c r="B356" s="6"/>
      <c r="C356" s="6"/>
      <c r="D356" s="6"/>
      <c r="E356" s="6"/>
      <c r="F356" s="6"/>
      <c r="G356" s="6"/>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hidden="1">
      <c r="A357" s="6"/>
      <c r="B357" s="6"/>
      <c r="C357" s="6"/>
      <c r="D357" s="6"/>
      <c r="E357" s="6"/>
      <c r="F357" s="6"/>
      <c r="G357" s="6"/>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hidden="1">
      <c r="A358" s="6"/>
      <c r="B358" s="6"/>
      <c r="C358" s="6"/>
      <c r="D358" s="6"/>
      <c r="E358" s="6"/>
      <c r="F358" s="6"/>
      <c r="G358" s="6"/>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hidden="1">
      <c r="A359" s="6"/>
      <c r="B359" s="6"/>
      <c r="C359" s="6"/>
      <c r="D359" s="6"/>
      <c r="E359" s="6"/>
      <c r="F359" s="6"/>
      <c r="G359" s="6"/>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hidden="1">
      <c r="A360" s="6"/>
      <c r="B360" s="6"/>
      <c r="C360" s="6"/>
      <c r="D360" s="6"/>
      <c r="E360" s="6"/>
      <c r="F360" s="6"/>
      <c r="G360" s="6"/>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hidden="1">
      <c r="A361" s="6"/>
      <c r="B361" s="6"/>
      <c r="C361" s="6"/>
      <c r="D361" s="6"/>
      <c r="E361" s="6"/>
      <c r="F361" s="6"/>
      <c r="G361" s="6"/>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hidden="1">
      <c r="A362" s="6"/>
      <c r="B362" s="6"/>
      <c r="C362" s="6"/>
      <c r="D362" s="6"/>
      <c r="E362" s="6"/>
      <c r="F362" s="6"/>
      <c r="G362" s="6"/>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hidden="1">
      <c r="A363" s="6"/>
      <c r="B363" s="6"/>
      <c r="C363" s="6"/>
      <c r="D363" s="6"/>
      <c r="E363" s="6"/>
      <c r="F363" s="6"/>
      <c r="G363" s="6"/>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hidden="1">
      <c r="A364" s="6"/>
      <c r="B364" s="6"/>
      <c r="C364" s="6"/>
      <c r="D364" s="6"/>
      <c r="E364" s="6"/>
      <c r="F364" s="6"/>
      <c r="G364" s="6"/>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hidden="1">
      <c r="A365" s="6"/>
      <c r="B365" s="6"/>
      <c r="C365" s="6"/>
      <c r="D365" s="6"/>
      <c r="E365" s="6"/>
      <c r="F365" s="6"/>
      <c r="G365" s="6"/>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hidden="1">
      <c r="A366" s="6"/>
      <c r="B366" s="6"/>
      <c r="C366" s="6"/>
      <c r="D366" s="6"/>
      <c r="E366" s="6"/>
      <c r="F366" s="6"/>
      <c r="G366" s="6"/>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hidden="1">
      <c r="A367" s="6"/>
      <c r="B367" s="6"/>
      <c r="C367" s="6"/>
      <c r="D367" s="6"/>
      <c r="E367" s="6"/>
      <c r="F367" s="6"/>
      <c r="G367" s="6"/>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hidden="1">
      <c r="A368" s="6"/>
      <c r="B368" s="6"/>
      <c r="C368" s="6"/>
      <c r="D368" s="6"/>
      <c r="E368" s="6"/>
      <c r="F368" s="6"/>
      <c r="G368" s="6"/>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hidden="1">
      <c r="A369" s="6"/>
      <c r="B369" s="6"/>
      <c r="C369" s="6"/>
      <c r="D369" s="6"/>
      <c r="E369" s="6"/>
      <c r="F369" s="6"/>
      <c r="G369" s="6"/>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hidden="1">
      <c r="A370" s="6"/>
      <c r="B370" s="6"/>
      <c r="C370" s="6"/>
      <c r="D370" s="6"/>
      <c r="E370" s="6"/>
      <c r="F370" s="6"/>
      <c r="G370" s="6"/>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hidden="1">
      <c r="A371" s="6"/>
      <c r="B371" s="6"/>
      <c r="C371" s="6"/>
      <c r="D371" s="6"/>
      <c r="E371" s="6"/>
      <c r="F371" s="6"/>
      <c r="G371" s="6"/>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hidden="1">
      <c r="A372" s="6"/>
      <c r="B372" s="6"/>
      <c r="C372" s="6"/>
      <c r="D372" s="6"/>
      <c r="E372" s="6"/>
      <c r="F372" s="6"/>
      <c r="G372" s="6"/>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hidden="1">
      <c r="A373" s="6"/>
      <c r="B373" s="6"/>
      <c r="C373" s="6"/>
      <c r="D373" s="6"/>
      <c r="E373" s="6"/>
      <c r="F373" s="6"/>
      <c r="G373" s="6"/>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hidden="1">
      <c r="A374" s="6"/>
      <c r="B374" s="6"/>
      <c r="C374" s="6"/>
      <c r="D374" s="6"/>
      <c r="E374" s="6"/>
      <c r="F374" s="6"/>
      <c r="G374" s="6"/>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hidden="1">
      <c r="A375" s="6"/>
      <c r="B375" s="6"/>
      <c r="C375" s="6"/>
      <c r="D375" s="6"/>
      <c r="E375" s="6"/>
      <c r="F375" s="6"/>
      <c r="G375" s="6"/>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hidden="1">
      <c r="A376" s="6"/>
      <c r="B376" s="6"/>
      <c r="C376" s="6"/>
      <c r="D376" s="6"/>
      <c r="E376" s="6"/>
      <c r="F376" s="6"/>
      <c r="G376" s="6"/>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hidden="1">
      <c r="A377" s="6"/>
      <c r="B377" s="6"/>
      <c r="C377" s="6"/>
      <c r="D377" s="6"/>
      <c r="E377" s="6"/>
      <c r="F377" s="6"/>
      <c r="G377" s="6"/>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hidden="1">
      <c r="A378" s="6"/>
      <c r="B378" s="6"/>
      <c r="C378" s="6"/>
      <c r="D378" s="6"/>
      <c r="E378" s="6"/>
      <c r="F378" s="6"/>
      <c r="G378" s="6"/>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hidden="1">
      <c r="A379" s="6"/>
      <c r="B379" s="6"/>
      <c r="C379" s="6"/>
      <c r="D379" s="6"/>
      <c r="E379" s="6"/>
      <c r="F379" s="6"/>
      <c r="G379" s="6"/>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hidden="1">
      <c r="A380" s="6"/>
      <c r="B380" s="6"/>
      <c r="C380" s="6"/>
      <c r="D380" s="6"/>
      <c r="E380" s="6"/>
      <c r="F380" s="6"/>
      <c r="G380" s="6"/>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hidden="1">
      <c r="A381" s="6"/>
      <c r="B381" s="6"/>
      <c r="C381" s="6"/>
      <c r="D381" s="6"/>
      <c r="E381" s="6"/>
      <c r="F381" s="6"/>
      <c r="G381" s="6"/>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hidden="1">
      <c r="A382" s="6"/>
      <c r="B382" s="6"/>
      <c r="C382" s="6"/>
      <c r="D382" s="6"/>
      <c r="E382" s="6"/>
      <c r="F382" s="6"/>
      <c r="G382" s="6"/>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hidden="1">
      <c r="A383" s="6"/>
      <c r="B383" s="6"/>
      <c r="C383" s="6"/>
      <c r="D383" s="6"/>
      <c r="E383" s="6"/>
      <c r="F383" s="6"/>
      <c r="G383" s="6"/>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hidden="1">
      <c r="A384" s="6"/>
      <c r="B384" s="6"/>
      <c r="C384" s="6"/>
      <c r="D384" s="6"/>
      <c r="E384" s="6"/>
      <c r="F384" s="6"/>
      <c r="G384" s="6"/>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hidden="1">
      <c r="A385" s="6"/>
      <c r="B385" s="6"/>
      <c r="C385" s="6"/>
      <c r="D385" s="6"/>
      <c r="E385" s="6"/>
      <c r="F385" s="6"/>
      <c r="G385" s="6"/>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hidden="1">
      <c r="A386" s="6"/>
      <c r="B386" s="6"/>
      <c r="C386" s="6"/>
      <c r="D386" s="6"/>
      <c r="E386" s="6"/>
      <c r="F386" s="6"/>
      <c r="G386" s="6"/>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hidden="1">
      <c r="A387" s="6"/>
      <c r="B387" s="6"/>
      <c r="C387" s="6"/>
      <c r="D387" s="6"/>
      <c r="E387" s="6"/>
      <c r="F387" s="6"/>
      <c r="G387" s="6"/>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hidden="1">
      <c r="A388" s="6"/>
      <c r="B388" s="6"/>
      <c r="C388" s="6"/>
      <c r="D388" s="6"/>
      <c r="E388" s="6"/>
      <c r="F388" s="6"/>
      <c r="G388" s="6"/>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hidden="1">
      <c r="A389" s="6"/>
      <c r="B389" s="6"/>
      <c r="C389" s="6"/>
      <c r="D389" s="6"/>
      <c r="E389" s="6"/>
      <c r="F389" s="6"/>
      <c r="G389" s="6"/>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hidden="1">
      <c r="A390" s="6"/>
      <c r="B390" s="6"/>
      <c r="C390" s="6"/>
      <c r="D390" s="6"/>
      <c r="E390" s="6"/>
      <c r="F390" s="6"/>
      <c r="G390" s="6"/>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hidden="1">
      <c r="A391" s="6"/>
      <c r="B391" s="6"/>
      <c r="C391" s="6"/>
      <c r="D391" s="6"/>
      <c r="E391" s="6"/>
      <c r="F391" s="6"/>
      <c r="G391" s="6"/>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hidden="1">
      <c r="A392" s="6"/>
      <c r="B392" s="6"/>
      <c r="C392" s="6"/>
      <c r="D392" s="6"/>
      <c r="E392" s="6"/>
      <c r="F392" s="6"/>
      <c r="G392" s="6"/>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hidden="1">
      <c r="A393" s="6"/>
      <c r="B393" s="6"/>
      <c r="C393" s="6"/>
      <c r="D393" s="6"/>
      <c r="E393" s="6"/>
      <c r="F393" s="6"/>
      <c r="G393" s="6"/>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hidden="1">
      <c r="A394" s="6"/>
      <c r="B394" s="6"/>
      <c r="C394" s="6"/>
      <c r="D394" s="6"/>
      <c r="E394" s="6"/>
      <c r="F394" s="6"/>
      <c r="G394" s="6"/>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hidden="1">
      <c r="A395" s="6"/>
      <c r="B395" s="6"/>
      <c r="C395" s="6"/>
      <c r="D395" s="6"/>
      <c r="E395" s="6"/>
      <c r="F395" s="6"/>
      <c r="G395" s="6"/>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hidden="1">
      <c r="A396" s="6"/>
      <c r="B396" s="6"/>
      <c r="C396" s="6"/>
      <c r="D396" s="6"/>
      <c r="E396" s="6"/>
      <c r="F396" s="6"/>
      <c r="G396" s="6"/>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hidden="1">
      <c r="A397" s="6"/>
      <c r="B397" s="6"/>
      <c r="C397" s="6"/>
      <c r="D397" s="6"/>
      <c r="E397" s="6"/>
      <c r="F397" s="6"/>
      <c r="G397" s="6"/>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hidden="1">
      <c r="A398" s="6"/>
      <c r="B398" s="6"/>
      <c r="C398" s="6"/>
      <c r="D398" s="6"/>
      <c r="E398" s="6"/>
      <c r="F398" s="6"/>
      <c r="G398" s="6"/>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hidden="1">
      <c r="A399" s="6"/>
      <c r="B399" s="6"/>
      <c r="C399" s="6"/>
      <c r="D399" s="6"/>
      <c r="E399" s="6"/>
      <c r="F399" s="6"/>
      <c r="G399" s="6"/>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hidden="1">
      <c r="A400" s="6"/>
      <c r="B400" s="6"/>
      <c r="C400" s="6"/>
      <c r="D400" s="6"/>
      <c r="E400" s="6"/>
      <c r="F400" s="6"/>
      <c r="G400" s="6"/>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hidden="1">
      <c r="A401" s="6"/>
      <c r="B401" s="6"/>
      <c r="C401" s="6"/>
      <c r="D401" s="6"/>
      <c r="E401" s="6"/>
      <c r="F401" s="6"/>
      <c r="G401" s="6"/>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hidden="1">
      <c r="A402" s="6"/>
      <c r="B402" s="6"/>
      <c r="C402" s="6"/>
      <c r="D402" s="6"/>
      <c r="E402" s="6"/>
      <c r="F402" s="6"/>
      <c r="G402" s="6"/>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hidden="1">
      <c r="A403" s="6"/>
      <c r="B403" s="6"/>
      <c r="C403" s="6"/>
      <c r="D403" s="6"/>
      <c r="E403" s="6"/>
      <c r="F403" s="6"/>
      <c r="G403" s="6"/>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hidden="1">
      <c r="A404" s="6"/>
      <c r="B404" s="6"/>
      <c r="C404" s="6"/>
      <c r="D404" s="6"/>
      <c r="E404" s="6"/>
      <c r="F404" s="6"/>
      <c r="G404" s="6"/>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hidden="1">
      <c r="A405" s="6"/>
      <c r="B405" s="6"/>
      <c r="C405" s="6"/>
      <c r="D405" s="6"/>
      <c r="E405" s="6"/>
      <c r="F405" s="6"/>
      <c r="G405" s="6"/>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hidden="1">
      <c r="A406" s="6"/>
      <c r="B406" s="6"/>
      <c r="C406" s="6"/>
      <c r="D406" s="6"/>
      <c r="E406" s="6"/>
      <c r="F406" s="6"/>
      <c r="G406" s="6"/>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hidden="1">
      <c r="A407" s="6"/>
      <c r="B407" s="6"/>
      <c r="C407" s="6"/>
      <c r="D407" s="6"/>
      <c r="E407" s="6"/>
      <c r="F407" s="6"/>
      <c r="G407" s="6"/>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hidden="1">
      <c r="A408" s="6"/>
      <c r="B408" s="6"/>
      <c r="C408" s="6"/>
      <c r="D408" s="6"/>
      <c r="E408" s="6"/>
      <c r="F408" s="6"/>
      <c r="G408" s="6"/>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hidden="1">
      <c r="A409" s="6"/>
      <c r="B409" s="6"/>
      <c r="C409" s="6"/>
      <c r="D409" s="6"/>
      <c r="E409" s="6"/>
      <c r="F409" s="6"/>
      <c r="G409" s="6"/>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hidden="1">
      <c r="A410" s="6"/>
      <c r="B410" s="6"/>
      <c r="C410" s="6"/>
      <c r="D410" s="6"/>
      <c r="E410" s="6"/>
      <c r="F410" s="6"/>
      <c r="G410" s="6"/>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hidden="1">
      <c r="A411" s="6"/>
      <c r="B411" s="6"/>
      <c r="C411" s="6"/>
      <c r="D411" s="6"/>
      <c r="E411" s="6"/>
      <c r="F411" s="6"/>
      <c r="G411" s="6"/>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hidden="1">
      <c r="A412" s="6"/>
      <c r="B412" s="6"/>
      <c r="C412" s="6"/>
      <c r="D412" s="6"/>
      <c r="E412" s="6"/>
      <c r="F412" s="6"/>
      <c r="G412" s="6"/>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hidden="1">
      <c r="A413" s="6"/>
      <c r="B413" s="6"/>
      <c r="C413" s="6"/>
      <c r="D413" s="6"/>
      <c r="E413" s="6"/>
      <c r="F413" s="6"/>
      <c r="G413" s="6"/>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hidden="1">
      <c r="A414" s="6"/>
      <c r="B414" s="6"/>
      <c r="C414" s="6"/>
      <c r="D414" s="6"/>
      <c r="E414" s="6"/>
      <c r="F414" s="6"/>
      <c r="G414" s="6"/>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hidden="1">
      <c r="A415" s="6"/>
      <c r="B415" s="6"/>
      <c r="C415" s="6"/>
      <c r="D415" s="6"/>
      <c r="E415" s="6"/>
      <c r="F415" s="6"/>
      <c r="G415" s="6"/>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hidden="1">
      <c r="A416" s="6"/>
      <c r="B416" s="6"/>
      <c r="C416" s="6"/>
      <c r="D416" s="6"/>
      <c r="E416" s="6"/>
      <c r="F416" s="6"/>
      <c r="G416" s="6"/>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hidden="1">
      <c r="A417" s="6"/>
      <c r="B417" s="6"/>
      <c r="C417" s="6"/>
      <c r="D417" s="6"/>
      <c r="E417" s="6"/>
      <c r="F417" s="6"/>
      <c r="G417" s="6"/>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hidden="1">
      <c r="A418" s="6"/>
      <c r="B418" s="6"/>
      <c r="C418" s="6"/>
      <c r="D418" s="6"/>
      <c r="E418" s="6"/>
      <c r="F418" s="6"/>
      <c r="G418" s="6"/>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hidden="1">
      <c r="A419" s="6"/>
      <c r="B419" s="6"/>
      <c r="C419" s="6"/>
      <c r="D419" s="6"/>
      <c r="E419" s="6"/>
      <c r="F419" s="6"/>
      <c r="G419" s="6"/>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hidden="1">
      <c r="A420" s="6"/>
      <c r="B420" s="6"/>
      <c r="C420" s="6"/>
      <c r="D420" s="6"/>
      <c r="E420" s="6"/>
      <c r="F420" s="6"/>
      <c r="G420" s="6"/>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hidden="1">
      <c r="A421" s="6"/>
      <c r="B421" s="6"/>
      <c r="C421" s="6"/>
      <c r="D421" s="6"/>
      <c r="E421" s="6"/>
      <c r="F421" s="6"/>
      <c r="G421" s="6"/>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hidden="1">
      <c r="A422" s="6"/>
      <c r="B422" s="6"/>
      <c r="C422" s="6"/>
      <c r="D422" s="6"/>
      <c r="E422" s="6"/>
      <c r="F422" s="6"/>
      <c r="G422" s="6"/>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hidden="1">
      <c r="A423" s="6"/>
      <c r="B423" s="6"/>
      <c r="C423" s="6"/>
      <c r="D423" s="6"/>
      <c r="E423" s="6"/>
      <c r="F423" s="6"/>
      <c r="G423" s="6"/>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hidden="1">
      <c r="A424" s="6"/>
      <c r="B424" s="6"/>
      <c r="C424" s="6"/>
      <c r="D424" s="6"/>
      <c r="E424" s="6"/>
      <c r="F424" s="6"/>
      <c r="G424" s="6"/>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hidden="1">
      <c r="A425" s="6"/>
      <c r="B425" s="6"/>
      <c r="C425" s="6"/>
      <c r="D425" s="6"/>
      <c r="E425" s="6"/>
      <c r="F425" s="6"/>
      <c r="G425" s="6"/>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hidden="1">
      <c r="A426" s="6"/>
      <c r="B426" s="6"/>
      <c r="C426" s="6"/>
      <c r="D426" s="6"/>
      <c r="E426" s="6"/>
      <c r="F426" s="6"/>
      <c r="G426" s="6"/>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hidden="1">
      <c r="A427" s="6"/>
      <c r="B427" s="6"/>
      <c r="C427" s="6"/>
      <c r="D427" s="6"/>
      <c r="E427" s="6"/>
      <c r="F427" s="6"/>
      <c r="G427" s="6"/>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hidden="1">
      <c r="A428" s="6"/>
      <c r="B428" s="6"/>
      <c r="C428" s="6"/>
      <c r="D428" s="6"/>
      <c r="E428" s="6"/>
      <c r="F428" s="6"/>
      <c r="G428" s="6"/>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hidden="1">
      <c r="A429" s="6"/>
      <c r="B429" s="6"/>
      <c r="C429" s="6"/>
      <c r="D429" s="6"/>
      <c r="E429" s="6"/>
      <c r="F429" s="6"/>
      <c r="G429" s="6"/>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hidden="1">
      <c r="A430" s="6"/>
      <c r="B430" s="6"/>
      <c r="C430" s="6"/>
      <c r="D430" s="6"/>
      <c r="E430" s="6"/>
      <c r="F430" s="6"/>
      <c r="G430" s="6"/>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hidden="1">
      <c r="A431" s="6"/>
      <c r="B431" s="6"/>
      <c r="C431" s="6"/>
      <c r="D431" s="6"/>
      <c r="E431" s="6"/>
      <c r="F431" s="6"/>
      <c r="G431" s="6"/>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hidden="1">
      <c r="A432" s="6"/>
      <c r="B432" s="6"/>
      <c r="C432" s="6"/>
      <c r="D432" s="6"/>
      <c r="E432" s="6"/>
      <c r="F432" s="6"/>
      <c r="G432" s="6"/>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hidden="1">
      <c r="A433" s="6"/>
      <c r="B433" s="6"/>
      <c r="C433" s="6"/>
      <c r="D433" s="6"/>
      <c r="E433" s="6"/>
      <c r="F433" s="6"/>
      <c r="G433" s="6"/>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hidden="1">
      <c r="A434" s="6"/>
      <c r="B434" s="6"/>
      <c r="C434" s="6"/>
      <c r="D434" s="6"/>
      <c r="E434" s="6"/>
      <c r="F434" s="6"/>
      <c r="G434" s="6"/>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hidden="1">
      <c r="A435" s="6"/>
      <c r="B435" s="6"/>
      <c r="C435" s="6"/>
      <c r="D435" s="6"/>
      <c r="E435" s="6"/>
      <c r="F435" s="6"/>
      <c r="G435" s="6"/>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hidden="1">
      <c r="A436" s="6"/>
      <c r="B436" s="6"/>
      <c r="C436" s="6"/>
      <c r="D436" s="6"/>
      <c r="E436" s="6"/>
      <c r="F436" s="6"/>
      <c r="G436" s="6"/>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hidden="1">
      <c r="A437" s="6"/>
      <c r="B437" s="6"/>
      <c r="C437" s="6"/>
      <c r="D437" s="6"/>
      <c r="E437" s="6"/>
      <c r="F437" s="6"/>
      <c r="G437" s="6"/>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hidden="1">
      <c r="A438" s="6"/>
      <c r="B438" s="6"/>
      <c r="C438" s="6"/>
      <c r="D438" s="6"/>
      <c r="E438" s="6"/>
      <c r="F438" s="6"/>
      <c r="G438" s="6"/>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hidden="1">
      <c r="A439" s="6"/>
      <c r="B439" s="6"/>
      <c r="C439" s="6"/>
      <c r="D439" s="6"/>
      <c r="E439" s="6"/>
      <c r="F439" s="6"/>
      <c r="G439" s="6"/>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hidden="1">
      <c r="A440" s="6"/>
      <c r="B440" s="6"/>
      <c r="C440" s="6"/>
      <c r="D440" s="6"/>
      <c r="E440" s="6"/>
      <c r="F440" s="6"/>
      <c r="G440" s="6"/>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hidden="1">
      <c r="A441" s="6"/>
      <c r="B441" s="6"/>
      <c r="C441" s="6"/>
      <c r="D441" s="6"/>
      <c r="E441" s="6"/>
      <c r="F441" s="6"/>
      <c r="G441" s="6"/>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hidden="1">
      <c r="A442" s="6"/>
      <c r="B442" s="6"/>
      <c r="C442" s="6"/>
      <c r="D442" s="6"/>
      <c r="E442" s="6"/>
      <c r="F442" s="6"/>
      <c r="G442" s="6"/>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hidden="1">
      <c r="A443" s="6"/>
      <c r="B443" s="6"/>
      <c r="C443" s="6"/>
      <c r="D443" s="6"/>
      <c r="E443" s="6"/>
      <c r="F443" s="6"/>
      <c r="G443" s="6"/>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hidden="1">
      <c r="A444" s="6"/>
      <c r="B444" s="6"/>
      <c r="C444" s="6"/>
      <c r="D444" s="6"/>
      <c r="E444" s="6"/>
      <c r="F444" s="6"/>
      <c r="G444" s="6"/>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hidden="1">
      <c r="A445" s="6"/>
      <c r="B445" s="6"/>
      <c r="C445" s="6"/>
      <c r="D445" s="6"/>
      <c r="E445" s="6"/>
      <c r="F445" s="6"/>
      <c r="G445" s="6"/>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hidden="1">
      <c r="A446" s="6"/>
      <c r="B446" s="6"/>
      <c r="C446" s="6"/>
      <c r="D446" s="6"/>
      <c r="E446" s="6"/>
      <c r="F446" s="6"/>
      <c r="G446" s="6"/>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hidden="1">
      <c r="A447" s="6"/>
      <c r="B447" s="6"/>
      <c r="C447" s="6"/>
      <c r="D447" s="6"/>
      <c r="E447" s="6"/>
      <c r="F447" s="6"/>
      <c r="G447" s="6"/>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hidden="1">
      <c r="A448" s="6"/>
      <c r="B448" s="6"/>
      <c r="C448" s="6"/>
      <c r="D448" s="6"/>
      <c r="E448" s="6"/>
      <c r="F448" s="6"/>
      <c r="G448" s="6"/>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hidden="1">
      <c r="A449" s="6"/>
      <c r="B449" s="6"/>
      <c r="C449" s="6"/>
      <c r="D449" s="6"/>
      <c r="E449" s="6"/>
      <c r="F449" s="6"/>
      <c r="G449" s="6"/>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hidden="1">
      <c r="A450" s="6"/>
      <c r="B450" s="6"/>
      <c r="C450" s="6"/>
      <c r="D450" s="6"/>
      <c r="E450" s="6"/>
      <c r="F450" s="6"/>
      <c r="G450" s="6"/>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hidden="1">
      <c r="A451" s="6"/>
      <c r="B451" s="6"/>
      <c r="C451" s="6"/>
      <c r="D451" s="6"/>
      <c r="E451" s="6"/>
      <c r="F451" s="6"/>
      <c r="G451" s="6"/>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hidden="1">
      <c r="A452" s="6"/>
      <c r="B452" s="6"/>
      <c r="C452" s="6"/>
      <c r="D452" s="6"/>
      <c r="E452" s="6"/>
      <c r="F452" s="6"/>
      <c r="G452" s="6"/>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hidden="1">
      <c r="A453" s="6"/>
      <c r="B453" s="6"/>
      <c r="C453" s="6"/>
      <c r="D453" s="6"/>
      <c r="E453" s="6"/>
      <c r="F453" s="6"/>
      <c r="G453" s="6"/>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hidden="1">
      <c r="A454" s="6"/>
      <c r="B454" s="6"/>
      <c r="C454" s="6"/>
      <c r="D454" s="6"/>
      <c r="E454" s="6"/>
      <c r="F454" s="6"/>
      <c r="G454" s="6"/>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hidden="1">
      <c r="A455" s="6"/>
      <c r="B455" s="6"/>
      <c r="C455" s="6"/>
      <c r="D455" s="6"/>
      <c r="E455" s="6"/>
      <c r="F455" s="6"/>
      <c r="G455" s="6"/>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hidden="1">
      <c r="A456" s="6"/>
      <c r="B456" s="6"/>
      <c r="C456" s="6"/>
      <c r="D456" s="6"/>
      <c r="E456" s="6"/>
      <c r="F456" s="6"/>
      <c r="G456" s="6"/>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hidden="1">
      <c r="A457" s="6"/>
      <c r="B457" s="6"/>
      <c r="C457" s="6"/>
      <c r="D457" s="6"/>
      <c r="E457" s="6"/>
      <c r="F457" s="6"/>
      <c r="G457" s="6"/>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hidden="1">
      <c r="A458" s="6"/>
      <c r="B458" s="6"/>
      <c r="C458" s="6"/>
      <c r="D458" s="6"/>
      <c r="E458" s="6"/>
      <c r="F458" s="6"/>
      <c r="G458" s="6"/>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hidden="1">
      <c r="A459" s="6"/>
      <c r="B459" s="6"/>
      <c r="C459" s="6"/>
      <c r="D459" s="6"/>
      <c r="E459" s="6"/>
      <c r="F459" s="6"/>
      <c r="G459" s="6"/>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hidden="1">
      <c r="A460" s="6"/>
      <c r="B460" s="6"/>
      <c r="C460" s="6"/>
      <c r="D460" s="6"/>
      <c r="E460" s="6"/>
      <c r="F460" s="6"/>
      <c r="G460" s="6"/>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hidden="1">
      <c r="A461" s="6"/>
      <c r="B461" s="6"/>
      <c r="C461" s="6"/>
      <c r="D461" s="6"/>
      <c r="E461" s="6"/>
      <c r="F461" s="6"/>
      <c r="G461" s="6"/>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hidden="1">
      <c r="A462" s="6"/>
      <c r="B462" s="6"/>
      <c r="C462" s="6"/>
      <c r="D462" s="6"/>
      <c r="E462" s="6"/>
      <c r="F462" s="6"/>
      <c r="G462" s="6"/>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hidden="1">
      <c r="A463" s="6"/>
      <c r="B463" s="6"/>
      <c r="C463" s="6"/>
      <c r="D463" s="6"/>
      <c r="E463" s="6"/>
      <c r="F463" s="6"/>
      <c r="G463" s="6"/>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hidden="1">
      <c r="A464" s="6"/>
      <c r="B464" s="6"/>
      <c r="C464" s="6"/>
      <c r="D464" s="6"/>
      <c r="E464" s="6"/>
      <c r="F464" s="6"/>
      <c r="G464" s="6"/>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hidden="1">
      <c r="A465" s="6"/>
      <c r="B465" s="6"/>
      <c r="C465" s="6"/>
      <c r="D465" s="6"/>
      <c r="E465" s="6"/>
      <c r="F465" s="6"/>
      <c r="G465" s="6"/>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hidden="1">
      <c r="A466" s="6"/>
      <c r="B466" s="6"/>
      <c r="C466" s="6"/>
      <c r="D466" s="6"/>
      <c r="E466" s="6"/>
      <c r="F466" s="6"/>
      <c r="G466" s="6"/>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hidden="1">
      <c r="A467" s="6"/>
      <c r="B467" s="6"/>
      <c r="C467" s="6"/>
      <c r="D467" s="6"/>
      <c r="E467" s="6"/>
      <c r="F467" s="6"/>
      <c r="G467" s="6"/>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hidden="1">
      <c r="A468" s="6"/>
      <c r="B468" s="6"/>
      <c r="C468" s="6"/>
      <c r="D468" s="6"/>
      <c r="E468" s="6"/>
      <c r="F468" s="6"/>
      <c r="G468" s="6"/>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hidden="1">
      <c r="A469" s="6"/>
      <c r="B469" s="6"/>
      <c r="C469" s="6"/>
      <c r="D469" s="6"/>
      <c r="E469" s="6"/>
      <c r="F469" s="6"/>
      <c r="G469" s="6"/>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hidden="1">
      <c r="A470" s="6"/>
      <c r="B470" s="6"/>
      <c r="C470" s="6"/>
      <c r="D470" s="6"/>
      <c r="E470" s="6"/>
      <c r="F470" s="6"/>
      <c r="G470" s="6"/>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hidden="1">
      <c r="A471" s="6"/>
      <c r="B471" s="6"/>
      <c r="C471" s="6"/>
      <c r="D471" s="6"/>
      <c r="E471" s="6"/>
      <c r="F471" s="6"/>
      <c r="G471" s="6"/>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hidden="1">
      <c r="A472" s="6"/>
      <c r="B472" s="6"/>
      <c r="C472" s="6"/>
      <c r="D472" s="6"/>
      <c r="E472" s="6"/>
      <c r="F472" s="6"/>
      <c r="G472" s="6"/>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hidden="1">
      <c r="A473" s="6"/>
      <c r="B473" s="6"/>
      <c r="C473" s="6"/>
      <c r="D473" s="6"/>
      <c r="E473" s="6"/>
      <c r="F473" s="6"/>
      <c r="G473" s="6"/>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hidden="1">
      <c r="A474" s="6"/>
      <c r="B474" s="6"/>
      <c r="C474" s="6"/>
      <c r="D474" s="6"/>
      <c r="E474" s="6"/>
      <c r="F474" s="6"/>
      <c r="G474" s="6"/>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hidden="1">
      <c r="A475" s="6"/>
      <c r="B475" s="6"/>
      <c r="C475" s="6"/>
      <c r="D475" s="6"/>
      <c r="E475" s="6"/>
      <c r="F475" s="6"/>
      <c r="G475" s="6"/>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hidden="1">
      <c r="A476" s="6"/>
      <c r="B476" s="6"/>
      <c r="C476" s="6"/>
      <c r="D476" s="6"/>
      <c r="E476" s="6"/>
      <c r="F476" s="6"/>
      <c r="G476" s="6"/>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hidden="1">
      <c r="A477" s="6"/>
      <c r="B477" s="6"/>
      <c r="C477" s="6"/>
      <c r="D477" s="6"/>
      <c r="E477" s="6"/>
      <c r="F477" s="6"/>
      <c r="G477" s="6"/>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hidden="1">
      <c r="A478" s="6"/>
      <c r="B478" s="6"/>
      <c r="C478" s="6"/>
      <c r="D478" s="6"/>
      <c r="E478" s="6"/>
      <c r="F478" s="6"/>
      <c r="G478" s="6"/>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hidden="1">
      <c r="A479" s="6"/>
      <c r="B479" s="6"/>
      <c r="C479" s="6"/>
      <c r="D479" s="6"/>
      <c r="E479" s="6"/>
      <c r="F479" s="6"/>
      <c r="G479" s="6"/>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hidden="1">
      <c r="A480" s="6"/>
      <c r="B480" s="6"/>
      <c r="C480" s="6"/>
      <c r="D480" s="6"/>
      <c r="E480" s="6"/>
      <c r="F480" s="6"/>
      <c r="G480" s="6"/>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hidden="1">
      <c r="A481" s="6"/>
      <c r="B481" s="6"/>
      <c r="C481" s="6"/>
      <c r="D481" s="6"/>
      <c r="E481" s="6"/>
      <c r="F481" s="6"/>
      <c r="G481" s="6"/>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hidden="1">
      <c r="A482" s="6"/>
      <c r="B482" s="6"/>
      <c r="C482" s="6"/>
      <c r="D482" s="6"/>
      <c r="E482" s="6"/>
      <c r="F482" s="6"/>
      <c r="G482" s="6"/>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hidden="1">
      <c r="A483" s="6"/>
      <c r="B483" s="6"/>
      <c r="C483" s="6"/>
      <c r="D483" s="6"/>
      <c r="E483" s="6"/>
      <c r="F483" s="6"/>
      <c r="G483" s="6"/>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hidden="1">
      <c r="A484" s="6"/>
      <c r="B484" s="6"/>
      <c r="C484" s="6"/>
      <c r="D484" s="6"/>
      <c r="E484" s="6"/>
      <c r="F484" s="6"/>
      <c r="G484" s="6"/>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hidden="1">
      <c r="A485" s="6"/>
      <c r="B485" s="6"/>
      <c r="C485" s="6"/>
      <c r="D485" s="6"/>
      <c r="E485" s="6"/>
      <c r="F485" s="6"/>
      <c r="G485" s="6"/>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hidden="1">
      <c r="A486" s="6"/>
      <c r="B486" s="6"/>
      <c r="C486" s="6"/>
      <c r="D486" s="6"/>
      <c r="E486" s="6"/>
      <c r="F486" s="6"/>
      <c r="G486" s="6"/>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hidden="1">
      <c r="A487" s="6"/>
      <c r="B487" s="6"/>
      <c r="C487" s="6"/>
      <c r="D487" s="6"/>
      <c r="E487" s="6"/>
      <c r="F487" s="6"/>
      <c r="G487" s="6"/>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hidden="1">
      <c r="A488" s="6"/>
      <c r="B488" s="6"/>
      <c r="C488" s="6"/>
      <c r="D488" s="6"/>
      <c r="E488" s="6"/>
      <c r="F488" s="6"/>
      <c r="G488" s="6"/>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hidden="1">
      <c r="A489" s="6"/>
      <c r="B489" s="6"/>
      <c r="C489" s="6"/>
      <c r="D489" s="6"/>
      <c r="E489" s="6"/>
      <c r="F489" s="6"/>
      <c r="G489" s="6"/>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hidden="1">
      <c r="A490" s="6"/>
      <c r="B490" s="6"/>
      <c r="C490" s="6"/>
      <c r="D490" s="6"/>
      <c r="E490" s="6"/>
      <c r="F490" s="6"/>
      <c r="G490" s="6"/>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hidden="1">
      <c r="A491" s="6"/>
      <c r="B491" s="6"/>
      <c r="C491" s="6"/>
      <c r="D491" s="6"/>
      <c r="E491" s="6"/>
      <c r="F491" s="6"/>
      <c r="G491" s="6"/>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hidden="1">
      <c r="A492" s="6"/>
      <c r="B492" s="6"/>
      <c r="C492" s="6"/>
      <c r="D492" s="6"/>
      <c r="E492" s="6"/>
      <c r="F492" s="6"/>
      <c r="G492" s="6"/>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hidden="1">
      <c r="A493" s="6"/>
      <c r="B493" s="6"/>
      <c r="C493" s="6"/>
      <c r="D493" s="6"/>
      <c r="E493" s="6"/>
      <c r="F493" s="6"/>
      <c r="G493" s="6"/>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hidden="1">
      <c r="A494" s="6"/>
      <c r="B494" s="6"/>
      <c r="C494" s="6"/>
      <c r="D494" s="6"/>
      <c r="E494" s="6"/>
      <c r="F494" s="6"/>
      <c r="G494" s="6"/>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hidden="1">
      <c r="A495" s="6"/>
      <c r="B495" s="6"/>
      <c r="C495" s="6"/>
      <c r="D495" s="6"/>
      <c r="E495" s="6"/>
      <c r="F495" s="6"/>
      <c r="G495" s="6"/>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hidden="1">
      <c r="A496" s="6"/>
      <c r="B496" s="6"/>
      <c r="C496" s="6"/>
      <c r="D496" s="6"/>
      <c r="E496" s="6"/>
      <c r="F496" s="6"/>
      <c r="G496" s="6"/>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hidden="1">
      <c r="A497" s="6"/>
      <c r="B497" s="6"/>
      <c r="C497" s="6"/>
      <c r="D497" s="6"/>
      <c r="E497" s="6"/>
      <c r="F497" s="6"/>
      <c r="G497" s="6"/>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hidden="1">
      <c r="A498" s="6"/>
      <c r="B498" s="6"/>
      <c r="C498" s="6"/>
      <c r="D498" s="6"/>
      <c r="E498" s="6"/>
      <c r="F498" s="6"/>
      <c r="G498" s="6"/>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hidden="1">
      <c r="A499" s="6"/>
      <c r="B499" s="6"/>
      <c r="C499" s="6"/>
      <c r="D499" s="6"/>
      <c r="E499" s="6"/>
      <c r="F499" s="6"/>
      <c r="G499" s="6"/>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hidden="1">
      <c r="A500" s="6"/>
      <c r="B500" s="6"/>
      <c r="C500" s="6"/>
      <c r="D500" s="6"/>
      <c r="E500" s="6"/>
      <c r="F500" s="6"/>
      <c r="G500" s="6"/>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hidden="1">
      <c r="A501" s="6"/>
      <c r="B501" s="6"/>
      <c r="C501" s="6"/>
      <c r="D501" s="6"/>
      <c r="E501" s="6"/>
      <c r="F501" s="6"/>
      <c r="G501" s="6"/>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hidden="1">
      <c r="A502" s="6"/>
      <c r="B502" s="6"/>
      <c r="C502" s="6"/>
      <c r="D502" s="6"/>
      <c r="E502" s="6"/>
      <c r="F502" s="6"/>
      <c r="G502" s="6"/>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hidden="1">
      <c r="A503" s="6"/>
      <c r="B503" s="6"/>
      <c r="C503" s="6"/>
      <c r="D503" s="6"/>
      <c r="E503" s="6"/>
      <c r="F503" s="6"/>
      <c r="G503" s="6"/>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hidden="1">
      <c r="A504" s="6"/>
      <c r="B504" s="6"/>
      <c r="C504" s="6"/>
      <c r="D504" s="6"/>
      <c r="E504" s="6"/>
      <c r="F504" s="6"/>
      <c r="G504" s="6"/>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hidden="1">
      <c r="A505" s="6"/>
      <c r="B505" s="6"/>
      <c r="C505" s="6"/>
      <c r="D505" s="6"/>
      <c r="E505" s="6"/>
      <c r="F505" s="6"/>
      <c r="G505" s="6"/>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hidden="1">
      <c r="A506" s="6"/>
      <c r="B506" s="6"/>
      <c r="C506" s="6"/>
      <c r="D506" s="6"/>
      <c r="E506" s="6"/>
      <c r="F506" s="6"/>
      <c r="G506" s="6"/>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hidden="1">
      <c r="A507" s="6"/>
      <c r="B507" s="6"/>
      <c r="C507" s="6"/>
      <c r="D507" s="6"/>
      <c r="E507" s="6"/>
      <c r="F507" s="6"/>
      <c r="G507" s="6"/>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hidden="1">
      <c r="A508" s="6"/>
      <c r="B508" s="6"/>
      <c r="C508" s="6"/>
      <c r="D508" s="6"/>
      <c r="E508" s="6"/>
      <c r="F508" s="6"/>
      <c r="G508" s="6"/>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hidden="1">
      <c r="A509" s="6"/>
      <c r="B509" s="6"/>
      <c r="C509" s="6"/>
      <c r="D509" s="6"/>
      <c r="E509" s="6"/>
      <c r="F509" s="6"/>
      <c r="G509" s="6"/>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hidden="1">
      <c r="A510" s="6"/>
      <c r="B510" s="6"/>
      <c r="C510" s="6"/>
      <c r="D510" s="6"/>
      <c r="E510" s="6"/>
      <c r="F510" s="6"/>
      <c r="G510" s="6"/>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hidden="1">
      <c r="A511" s="6"/>
      <c r="B511" s="6"/>
      <c r="C511" s="6"/>
      <c r="D511" s="6"/>
      <c r="E511" s="6"/>
      <c r="F511" s="6"/>
      <c r="G511" s="6"/>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hidden="1">
      <c r="A512" s="6"/>
      <c r="B512" s="6"/>
      <c r="C512" s="6"/>
      <c r="D512" s="6"/>
      <c r="E512" s="6"/>
      <c r="F512" s="6"/>
      <c r="G512" s="6"/>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hidden="1">
      <c r="A513" s="6"/>
      <c r="B513" s="6"/>
      <c r="C513" s="6"/>
      <c r="D513" s="6"/>
      <c r="E513" s="6"/>
      <c r="F513" s="6"/>
      <c r="G513" s="6"/>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hidden="1">
      <c r="A514" s="6"/>
      <c r="B514" s="6"/>
      <c r="C514" s="6"/>
      <c r="D514" s="6"/>
      <c r="E514" s="6"/>
      <c r="F514" s="6"/>
      <c r="G514" s="6"/>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hidden="1">
      <c r="A515" s="6"/>
      <c r="B515" s="6"/>
      <c r="C515" s="6"/>
      <c r="D515" s="6"/>
      <c r="E515" s="6"/>
      <c r="F515" s="6"/>
      <c r="G515" s="6"/>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hidden="1">
      <c r="A516" s="6"/>
      <c r="B516" s="6"/>
      <c r="C516" s="6"/>
      <c r="D516" s="6"/>
      <c r="E516" s="6"/>
      <c r="F516" s="6"/>
      <c r="G516" s="6"/>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hidden="1">
      <c r="A517" s="6"/>
      <c r="B517" s="6"/>
      <c r="C517" s="6"/>
      <c r="D517" s="6"/>
      <c r="E517" s="6"/>
      <c r="F517" s="6"/>
      <c r="G517" s="6"/>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hidden="1">
      <c r="A518" s="6"/>
      <c r="B518" s="6"/>
      <c r="C518" s="6"/>
      <c r="D518" s="6"/>
      <c r="E518" s="6"/>
      <c r="F518" s="6"/>
      <c r="G518" s="6"/>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hidden="1">
      <c r="A519" s="6"/>
      <c r="B519" s="6"/>
      <c r="C519" s="6"/>
      <c r="D519" s="6"/>
      <c r="E519" s="6"/>
      <c r="F519" s="6"/>
      <c r="G519" s="6"/>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hidden="1">
      <c r="A520" s="6"/>
      <c r="B520" s="6"/>
      <c r="C520" s="6"/>
      <c r="D520" s="6"/>
      <c r="E520" s="6"/>
      <c r="F520" s="6"/>
      <c r="G520" s="6"/>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hidden="1">
      <c r="A521" s="6"/>
      <c r="B521" s="6"/>
      <c r="C521" s="6"/>
      <c r="D521" s="6"/>
      <c r="E521" s="6"/>
      <c r="F521" s="6"/>
      <c r="G521" s="6"/>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hidden="1">
      <c r="A522" s="6"/>
      <c r="B522" s="6"/>
      <c r="C522" s="6"/>
      <c r="D522" s="6"/>
      <c r="E522" s="6"/>
      <c r="F522" s="6"/>
      <c r="G522" s="6"/>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hidden="1">
      <c r="A523" s="6"/>
      <c r="B523" s="6"/>
      <c r="C523" s="6"/>
      <c r="D523" s="6"/>
      <c r="E523" s="6"/>
      <c r="F523" s="6"/>
      <c r="G523" s="6"/>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hidden="1">
      <c r="A524" s="6"/>
      <c r="B524" s="6"/>
      <c r="C524" s="6"/>
      <c r="D524" s="6"/>
      <c r="E524" s="6"/>
      <c r="F524" s="6"/>
      <c r="G524" s="6"/>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hidden="1">
      <c r="A525" s="6"/>
      <c r="B525" s="6"/>
      <c r="C525" s="6"/>
      <c r="D525" s="6"/>
      <c r="E525" s="6"/>
      <c r="F525" s="6"/>
      <c r="G525" s="6"/>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hidden="1">
      <c r="A526" s="6"/>
      <c r="B526" s="6"/>
      <c r="C526" s="6"/>
      <c r="D526" s="6"/>
      <c r="E526" s="6"/>
      <c r="F526" s="6"/>
      <c r="G526" s="6"/>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hidden="1">
      <c r="A527" s="6"/>
      <c r="B527" s="6"/>
      <c r="C527" s="6"/>
      <c r="D527" s="6"/>
      <c r="E527" s="6"/>
      <c r="F527" s="6"/>
      <c r="G527" s="6"/>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hidden="1">
      <c r="A528" s="6"/>
      <c r="B528" s="6"/>
      <c r="C528" s="6"/>
      <c r="D528" s="6"/>
      <c r="E528" s="6"/>
      <c r="F528" s="6"/>
      <c r="G528" s="6"/>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hidden="1">
      <c r="A529" s="6"/>
      <c r="B529" s="6"/>
      <c r="C529" s="6"/>
      <c r="D529" s="6"/>
      <c r="E529" s="6"/>
      <c r="F529" s="6"/>
      <c r="G529" s="6"/>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hidden="1">
      <c r="A530" s="6"/>
      <c r="B530" s="6"/>
      <c r="C530" s="6"/>
      <c r="D530" s="6"/>
      <c r="E530" s="6"/>
      <c r="F530" s="6"/>
      <c r="G530" s="6"/>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hidden="1">
      <c r="A531" s="6"/>
      <c r="B531" s="6"/>
      <c r="C531" s="6"/>
      <c r="D531" s="6"/>
      <c r="E531" s="6"/>
      <c r="F531" s="6"/>
      <c r="G531" s="6"/>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hidden="1">
      <c r="A532" s="6"/>
      <c r="B532" s="6"/>
      <c r="C532" s="6"/>
      <c r="D532" s="6"/>
      <c r="E532" s="6"/>
      <c r="F532" s="6"/>
      <c r="G532" s="6"/>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hidden="1">
      <c r="A533" s="6"/>
      <c r="B533" s="6"/>
      <c r="C533" s="6"/>
      <c r="D533" s="6"/>
      <c r="E533" s="6"/>
      <c r="F533" s="6"/>
      <c r="G533" s="6"/>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hidden="1">
      <c r="A534" s="6"/>
      <c r="B534" s="6"/>
      <c r="C534" s="6"/>
      <c r="D534" s="6"/>
      <c r="E534" s="6"/>
      <c r="F534" s="6"/>
      <c r="G534" s="6"/>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hidden="1">
      <c r="A535" s="6"/>
      <c r="B535" s="6"/>
      <c r="C535" s="6"/>
      <c r="D535" s="6"/>
      <c r="E535" s="6"/>
      <c r="F535" s="6"/>
      <c r="G535" s="6"/>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hidden="1">
      <c r="A536" s="6"/>
      <c r="B536" s="6"/>
      <c r="C536" s="6"/>
      <c r="D536" s="6"/>
      <c r="E536" s="6"/>
      <c r="F536" s="6"/>
      <c r="G536" s="6"/>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hidden="1">
      <c r="A537" s="6"/>
      <c r="B537" s="6"/>
      <c r="C537" s="6"/>
      <c r="D537" s="6"/>
      <c r="E537" s="6"/>
      <c r="F537" s="6"/>
      <c r="G537" s="6"/>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hidden="1">
      <c r="A538" s="6"/>
      <c r="B538" s="6"/>
      <c r="C538" s="6"/>
      <c r="D538" s="6"/>
      <c r="E538" s="6"/>
      <c r="F538" s="6"/>
      <c r="G538" s="6"/>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hidden="1">
      <c r="A539" s="6"/>
      <c r="B539" s="6"/>
      <c r="C539" s="6"/>
      <c r="D539" s="6"/>
      <c r="E539" s="6"/>
      <c r="F539" s="6"/>
      <c r="G539" s="6"/>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hidden="1">
      <c r="A540" s="6"/>
      <c r="B540" s="6"/>
      <c r="C540" s="6"/>
      <c r="D540" s="6"/>
      <c r="E540" s="6"/>
      <c r="F540" s="6"/>
      <c r="G540" s="6"/>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hidden="1">
      <c r="A541" s="6"/>
      <c r="B541" s="6"/>
      <c r="C541" s="6"/>
      <c r="D541" s="6"/>
      <c r="E541" s="6"/>
      <c r="F541" s="6"/>
      <c r="G541" s="6"/>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hidden="1">
      <c r="A542" s="6"/>
      <c r="B542" s="6"/>
      <c r="C542" s="6"/>
      <c r="D542" s="6"/>
      <c r="E542" s="6"/>
      <c r="F542" s="6"/>
      <c r="G542" s="6"/>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hidden="1">
      <c r="A543" s="6"/>
      <c r="B543" s="6"/>
      <c r="C543" s="6"/>
      <c r="D543" s="6"/>
      <c r="E543" s="6"/>
      <c r="F543" s="6"/>
      <c r="G543" s="6"/>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hidden="1">
      <c r="A544" s="6"/>
      <c r="B544" s="6"/>
      <c r="C544" s="6"/>
      <c r="D544" s="6"/>
      <c r="E544" s="6"/>
      <c r="F544" s="6"/>
      <c r="G544" s="6"/>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hidden="1">
      <c r="A545" s="6"/>
      <c r="B545" s="6"/>
      <c r="C545" s="6"/>
      <c r="D545" s="6"/>
      <c r="E545" s="6"/>
      <c r="F545" s="6"/>
      <c r="G545" s="6"/>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hidden="1">
      <c r="A546" s="6"/>
      <c r="B546" s="6"/>
      <c r="C546" s="6"/>
      <c r="D546" s="6"/>
      <c r="E546" s="6"/>
      <c r="F546" s="6"/>
      <c r="G546" s="6"/>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hidden="1">
      <c r="A547" s="6"/>
      <c r="B547" s="6"/>
      <c r="C547" s="6"/>
      <c r="D547" s="6"/>
      <c r="E547" s="6"/>
      <c r="F547" s="6"/>
      <c r="G547" s="6"/>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hidden="1">
      <c r="A548" s="6"/>
      <c r="B548" s="6"/>
      <c r="C548" s="6"/>
      <c r="D548" s="6"/>
      <c r="E548" s="6"/>
      <c r="F548" s="6"/>
      <c r="G548" s="6"/>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hidden="1">
      <c r="A549" s="6"/>
      <c r="B549" s="6"/>
      <c r="C549" s="6"/>
      <c r="D549" s="6"/>
      <c r="E549" s="6"/>
      <c r="F549" s="6"/>
      <c r="G549" s="6"/>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hidden="1">
      <c r="A550" s="6"/>
      <c r="B550" s="6"/>
      <c r="C550" s="6"/>
      <c r="D550" s="6"/>
      <c r="E550" s="6"/>
      <c r="F550" s="6"/>
      <c r="G550" s="6"/>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hidden="1">
      <c r="A551" s="6"/>
      <c r="B551" s="6"/>
      <c r="C551" s="6"/>
      <c r="D551" s="6"/>
      <c r="E551" s="6"/>
      <c r="F551" s="6"/>
      <c r="G551" s="6"/>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hidden="1">
      <c r="A552" s="6"/>
      <c r="B552" s="6"/>
      <c r="C552" s="6"/>
      <c r="D552" s="6"/>
      <c r="E552" s="6"/>
      <c r="F552" s="6"/>
      <c r="G552" s="6"/>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hidden="1">
      <c r="A553" s="6"/>
      <c r="B553" s="6"/>
      <c r="C553" s="6"/>
      <c r="D553" s="6"/>
      <c r="E553" s="6"/>
      <c r="F553" s="6"/>
      <c r="G553" s="6"/>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hidden="1">
      <c r="A554" s="6"/>
      <c r="B554" s="6"/>
      <c r="C554" s="6"/>
      <c r="D554" s="6"/>
      <c r="E554" s="6"/>
      <c r="F554" s="6"/>
      <c r="G554" s="6"/>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hidden="1">
      <c r="A555" s="6"/>
      <c r="B555" s="6"/>
      <c r="C555" s="6"/>
      <c r="D555" s="6"/>
      <c r="E555" s="6"/>
      <c r="F555" s="6"/>
      <c r="G555" s="6"/>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hidden="1">
      <c r="A556" s="6"/>
      <c r="B556" s="6"/>
      <c r="C556" s="6"/>
      <c r="D556" s="6"/>
      <c r="E556" s="6"/>
      <c r="F556" s="6"/>
      <c r="G556" s="6"/>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hidden="1">
      <c r="A557" s="6"/>
      <c r="B557" s="6"/>
      <c r="C557" s="6"/>
      <c r="D557" s="6"/>
      <c r="E557" s="6"/>
      <c r="F557" s="6"/>
      <c r="G557" s="6"/>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hidden="1">
      <c r="A558" s="6"/>
      <c r="B558" s="6"/>
      <c r="C558" s="6"/>
      <c r="D558" s="6"/>
      <c r="E558" s="6"/>
      <c r="F558" s="6"/>
      <c r="G558" s="6"/>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hidden="1">
      <c r="A559" s="6"/>
      <c r="B559" s="6"/>
      <c r="C559" s="6"/>
      <c r="D559" s="6"/>
      <c r="E559" s="6"/>
      <c r="F559" s="6"/>
      <c r="G559" s="6"/>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hidden="1">
      <c r="A560" s="6"/>
      <c r="B560" s="6"/>
      <c r="C560" s="6"/>
      <c r="D560" s="6"/>
      <c r="E560" s="6"/>
      <c r="F560" s="6"/>
      <c r="G560" s="6"/>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hidden="1">
      <c r="A561" s="6"/>
      <c r="B561" s="6"/>
      <c r="C561" s="6"/>
      <c r="D561" s="6"/>
      <c r="E561" s="6"/>
      <c r="F561" s="6"/>
      <c r="G561" s="6"/>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hidden="1">
      <c r="A562" s="6"/>
      <c r="B562" s="6"/>
      <c r="C562" s="6"/>
      <c r="D562" s="6"/>
      <c r="E562" s="6"/>
      <c r="F562" s="6"/>
      <c r="G562" s="6"/>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hidden="1">
      <c r="A563" s="6"/>
      <c r="B563" s="6"/>
      <c r="C563" s="6"/>
      <c r="D563" s="6"/>
      <c r="E563" s="6"/>
      <c r="F563" s="6"/>
      <c r="G563" s="6"/>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hidden="1">
      <c r="A564" s="6"/>
      <c r="B564" s="6"/>
      <c r="C564" s="6"/>
      <c r="D564" s="6"/>
      <c r="E564" s="6"/>
      <c r="F564" s="6"/>
      <c r="G564" s="6"/>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hidden="1">
      <c r="A565" s="6"/>
      <c r="B565" s="6"/>
      <c r="C565" s="6"/>
      <c r="D565" s="6"/>
      <c r="E565" s="6"/>
      <c r="F565" s="6"/>
      <c r="G565" s="6"/>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hidden="1">
      <c r="A566" s="6"/>
      <c r="B566" s="6"/>
      <c r="C566" s="6"/>
      <c r="D566" s="6"/>
      <c r="E566" s="6"/>
      <c r="F566" s="6"/>
      <c r="G566" s="6"/>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hidden="1">
      <c r="A567" s="6"/>
      <c r="B567" s="6"/>
      <c r="C567" s="6"/>
      <c r="D567" s="6"/>
      <c r="E567" s="6"/>
      <c r="F567" s="6"/>
      <c r="G567" s="6"/>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hidden="1">
      <c r="A568" s="6"/>
      <c r="B568" s="6"/>
      <c r="C568" s="6"/>
      <c r="D568" s="6"/>
      <c r="E568" s="6"/>
      <c r="F568" s="6"/>
      <c r="G568" s="6"/>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hidden="1">
      <c r="A569" s="6"/>
      <c r="B569" s="6"/>
      <c r="C569" s="6"/>
      <c r="D569" s="6"/>
      <c r="E569" s="6"/>
      <c r="F569" s="6"/>
      <c r="G569" s="6"/>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hidden="1">
      <c r="A570" s="6"/>
      <c r="B570" s="6"/>
      <c r="C570" s="6"/>
      <c r="D570" s="6"/>
      <c r="E570" s="6"/>
      <c r="F570" s="6"/>
      <c r="G570" s="6"/>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hidden="1">
      <c r="A571" s="6"/>
      <c r="B571" s="6"/>
      <c r="C571" s="6"/>
      <c r="D571" s="6"/>
      <c r="E571" s="6"/>
      <c r="F571" s="6"/>
      <c r="G571" s="6"/>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hidden="1">
      <c r="A572" s="6"/>
      <c r="B572" s="6"/>
      <c r="C572" s="6"/>
      <c r="D572" s="6"/>
      <c r="E572" s="6"/>
      <c r="F572" s="6"/>
      <c r="G572" s="6"/>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hidden="1">
      <c r="A573" s="6"/>
      <c r="B573" s="6"/>
      <c r="C573" s="6"/>
      <c r="D573" s="6"/>
      <c r="E573" s="6"/>
      <c r="F573" s="6"/>
      <c r="G573" s="6"/>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hidden="1">
      <c r="A574" s="6"/>
      <c r="B574" s="6"/>
      <c r="C574" s="6"/>
      <c r="D574" s="6"/>
      <c r="E574" s="6"/>
      <c r="F574" s="6"/>
      <c r="G574" s="6"/>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hidden="1">
      <c r="A575" s="6"/>
      <c r="B575" s="6"/>
      <c r="C575" s="6"/>
      <c r="D575" s="6"/>
      <c r="E575" s="6"/>
      <c r="F575" s="6"/>
      <c r="G575" s="6"/>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hidden="1">
      <c r="A576" s="6"/>
      <c r="B576" s="6"/>
      <c r="C576" s="6"/>
      <c r="D576" s="6"/>
      <c r="E576" s="6"/>
      <c r="F576" s="6"/>
      <c r="G576" s="6"/>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hidden="1">
      <c r="A577" s="6"/>
      <c r="B577" s="6"/>
      <c r="C577" s="6"/>
      <c r="D577" s="6"/>
      <c r="E577" s="6"/>
      <c r="F577" s="6"/>
      <c r="G577" s="6"/>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hidden="1">
      <c r="A578" s="6"/>
      <c r="B578" s="6"/>
      <c r="C578" s="6"/>
      <c r="D578" s="6"/>
      <c r="E578" s="6"/>
      <c r="F578" s="6"/>
      <c r="G578" s="6"/>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hidden="1">
      <c r="A579" s="6"/>
      <c r="B579" s="6"/>
      <c r="C579" s="6"/>
      <c r="D579" s="6"/>
      <c r="E579" s="6"/>
      <c r="F579" s="6"/>
      <c r="G579" s="6"/>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hidden="1">
      <c r="A580" s="6"/>
      <c r="B580" s="6"/>
      <c r="C580" s="6"/>
      <c r="D580" s="6"/>
      <c r="E580" s="6"/>
      <c r="F580" s="6"/>
      <c r="G580" s="6"/>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hidden="1">
      <c r="A581" s="6"/>
      <c r="B581" s="6"/>
      <c r="C581" s="6"/>
      <c r="D581" s="6"/>
      <c r="E581" s="6"/>
      <c r="F581" s="6"/>
      <c r="G581" s="6"/>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hidden="1">
      <c r="A582" s="6"/>
      <c r="B582" s="6"/>
      <c r="C582" s="6"/>
      <c r="D582" s="6"/>
      <c r="E582" s="6"/>
      <c r="F582" s="6"/>
      <c r="G582" s="6"/>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hidden="1">
      <c r="A583" s="6"/>
      <c r="B583" s="6"/>
      <c r="C583" s="6"/>
      <c r="D583" s="6"/>
      <c r="E583" s="6"/>
      <c r="F583" s="6"/>
      <c r="G583" s="6"/>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hidden="1">
      <c r="A584" s="6"/>
      <c r="B584" s="6"/>
      <c r="C584" s="6"/>
      <c r="D584" s="6"/>
      <c r="E584" s="6"/>
      <c r="F584" s="6"/>
      <c r="G584" s="6"/>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hidden="1">
      <c r="A585" s="6"/>
      <c r="B585" s="6"/>
      <c r="C585" s="6"/>
      <c r="D585" s="6"/>
      <c r="E585" s="6"/>
      <c r="F585" s="6"/>
      <c r="G585" s="6"/>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hidden="1">
      <c r="A586" s="6"/>
      <c r="B586" s="6"/>
      <c r="C586" s="6"/>
      <c r="D586" s="6"/>
      <c r="E586" s="6"/>
      <c r="F586" s="6"/>
      <c r="G586" s="6"/>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hidden="1">
      <c r="A587" s="6"/>
      <c r="B587" s="6"/>
      <c r="C587" s="6"/>
      <c r="D587" s="6"/>
      <c r="E587" s="6"/>
      <c r="F587" s="6"/>
      <c r="G587" s="6"/>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hidden="1">
      <c r="A588" s="6"/>
      <c r="B588" s="6"/>
      <c r="C588" s="6"/>
      <c r="D588" s="6"/>
      <c r="E588" s="6"/>
      <c r="F588" s="6"/>
      <c r="G588" s="6"/>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hidden="1">
      <c r="A589" s="6"/>
      <c r="B589" s="6"/>
      <c r="C589" s="6"/>
      <c r="D589" s="6"/>
      <c r="E589" s="6"/>
      <c r="F589" s="6"/>
      <c r="G589" s="6"/>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hidden="1">
      <c r="A590" s="6"/>
      <c r="B590" s="6"/>
      <c r="C590" s="6"/>
      <c r="D590" s="6"/>
      <c r="E590" s="6"/>
      <c r="F590" s="6"/>
      <c r="G590" s="6"/>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hidden="1">
      <c r="A591" s="6"/>
      <c r="B591" s="6"/>
      <c r="C591" s="6"/>
      <c r="D591" s="6"/>
      <c r="E591" s="6"/>
      <c r="F591" s="6"/>
      <c r="G591" s="6"/>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hidden="1">
      <c r="A592" s="6"/>
      <c r="B592" s="6"/>
      <c r="C592" s="6"/>
      <c r="D592" s="6"/>
      <c r="E592" s="6"/>
      <c r="F592" s="6"/>
      <c r="G592" s="6"/>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hidden="1">
      <c r="A593" s="6"/>
      <c r="B593" s="6"/>
      <c r="C593" s="6"/>
      <c r="D593" s="6"/>
      <c r="E593" s="6"/>
      <c r="F593" s="6"/>
      <c r="G593" s="6"/>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hidden="1">
      <c r="A594" s="6"/>
      <c r="B594" s="6"/>
      <c r="C594" s="6"/>
      <c r="D594" s="6"/>
      <c r="E594" s="6"/>
      <c r="F594" s="6"/>
      <c r="G594" s="6"/>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hidden="1">
      <c r="A595" s="6"/>
      <c r="B595" s="6"/>
      <c r="C595" s="6"/>
      <c r="D595" s="6"/>
      <c r="E595" s="6"/>
      <c r="F595" s="6"/>
      <c r="G595" s="6"/>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hidden="1">
      <c r="A596" s="6"/>
      <c r="B596" s="6"/>
      <c r="C596" s="6"/>
      <c r="D596" s="6"/>
      <c r="E596" s="6"/>
      <c r="F596" s="6"/>
      <c r="G596" s="6"/>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hidden="1">
      <c r="A597" s="6"/>
      <c r="B597" s="6"/>
      <c r="C597" s="6"/>
      <c r="D597" s="6"/>
      <c r="E597" s="6"/>
      <c r="F597" s="6"/>
      <c r="G597" s="6"/>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hidden="1">
      <c r="A598" s="6"/>
      <c r="B598" s="6"/>
      <c r="C598" s="6"/>
      <c r="D598" s="6"/>
      <c r="E598" s="6"/>
      <c r="F598" s="6"/>
      <c r="G598" s="6"/>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hidden="1">
      <c r="A599" s="6"/>
      <c r="B599" s="6"/>
      <c r="C599" s="6"/>
      <c r="D599" s="6"/>
      <c r="E599" s="6"/>
      <c r="F599" s="6"/>
      <c r="G599" s="6"/>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hidden="1">
      <c r="A600" s="6"/>
      <c r="B600" s="6"/>
      <c r="C600" s="6"/>
      <c r="D600" s="6"/>
      <c r="E600" s="6"/>
      <c r="F600" s="6"/>
      <c r="G600" s="6"/>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hidden="1">
      <c r="A601" s="6"/>
      <c r="B601" s="6"/>
      <c r="C601" s="6"/>
      <c r="D601" s="6"/>
      <c r="E601" s="6"/>
      <c r="F601" s="6"/>
      <c r="G601" s="6"/>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hidden="1">
      <c r="A602" s="6"/>
      <c r="B602" s="6"/>
      <c r="C602" s="6"/>
      <c r="D602" s="6"/>
      <c r="E602" s="6"/>
      <c r="F602" s="6"/>
      <c r="G602" s="6"/>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hidden="1">
      <c r="A603" s="6"/>
      <c r="B603" s="6"/>
      <c r="C603" s="6"/>
      <c r="D603" s="6"/>
      <c r="E603" s="6"/>
      <c r="F603" s="6"/>
      <c r="G603" s="6"/>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hidden="1">
      <c r="A604" s="6"/>
      <c r="B604" s="6"/>
      <c r="C604" s="6"/>
      <c r="D604" s="6"/>
      <c r="E604" s="6"/>
      <c r="F604" s="6"/>
      <c r="G604" s="6"/>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hidden="1">
      <c r="A605" s="6"/>
      <c r="B605" s="6"/>
      <c r="C605" s="6"/>
      <c r="D605" s="6"/>
      <c r="E605" s="6"/>
      <c r="F605" s="6"/>
      <c r="G605" s="6"/>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hidden="1">
      <c r="A606" s="6"/>
      <c r="B606" s="6"/>
      <c r="C606" s="6"/>
      <c r="D606" s="6"/>
      <c r="E606" s="6"/>
      <c r="F606" s="6"/>
      <c r="G606" s="6"/>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hidden="1">
      <c r="A607" s="6"/>
      <c r="B607" s="6"/>
      <c r="C607" s="6"/>
      <c r="D607" s="6"/>
      <c r="E607" s="6"/>
      <c r="F607" s="6"/>
      <c r="G607" s="6"/>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hidden="1">
      <c r="A608" s="6"/>
      <c r="B608" s="6"/>
      <c r="C608" s="6"/>
      <c r="D608" s="6"/>
      <c r="E608" s="6"/>
      <c r="F608" s="6"/>
      <c r="G608" s="6"/>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hidden="1">
      <c r="A609" s="6"/>
      <c r="B609" s="6"/>
      <c r="C609" s="6"/>
      <c r="D609" s="6"/>
      <c r="E609" s="6"/>
      <c r="F609" s="6"/>
      <c r="G609" s="6"/>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hidden="1">
      <c r="A610" s="6"/>
      <c r="B610" s="6"/>
      <c r="C610" s="6"/>
      <c r="D610" s="6"/>
      <c r="E610" s="6"/>
      <c r="F610" s="6"/>
      <c r="G610" s="6"/>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hidden="1">
      <c r="A611" s="6"/>
      <c r="B611" s="6"/>
      <c r="C611" s="6"/>
      <c r="D611" s="6"/>
      <c r="E611" s="6"/>
      <c r="F611" s="6"/>
      <c r="G611" s="6"/>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hidden="1">
      <c r="A612" s="6"/>
      <c r="B612" s="6"/>
      <c r="C612" s="6"/>
      <c r="D612" s="6"/>
      <c r="E612" s="6"/>
      <c r="F612" s="6"/>
      <c r="G612" s="6"/>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hidden="1">
      <c r="A613" s="6"/>
      <c r="B613" s="6"/>
      <c r="C613" s="6"/>
      <c r="D613" s="6"/>
      <c r="E613" s="6"/>
      <c r="F613" s="6"/>
      <c r="G613" s="6"/>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hidden="1">
      <c r="A614" s="6"/>
      <c r="B614" s="6"/>
      <c r="C614" s="6"/>
      <c r="D614" s="6"/>
      <c r="E614" s="6"/>
      <c r="F614" s="6"/>
      <c r="G614" s="6"/>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hidden="1">
      <c r="A615" s="6"/>
      <c r="B615" s="6"/>
      <c r="C615" s="6"/>
      <c r="D615" s="6"/>
      <c r="E615" s="6"/>
      <c r="F615" s="6"/>
      <c r="G615" s="6"/>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hidden="1">
      <c r="A616" s="6"/>
      <c r="B616" s="6"/>
      <c r="C616" s="6"/>
      <c r="D616" s="6"/>
      <c r="E616" s="6"/>
      <c r="F616" s="6"/>
      <c r="G616" s="6"/>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hidden="1">
      <c r="A617" s="6"/>
      <c r="B617" s="6"/>
      <c r="C617" s="6"/>
      <c r="D617" s="6"/>
      <c r="E617" s="6"/>
      <c r="F617" s="6"/>
      <c r="G617" s="6"/>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hidden="1">
      <c r="A618" s="6"/>
      <c r="B618" s="6"/>
      <c r="C618" s="6"/>
      <c r="D618" s="6"/>
      <c r="E618" s="6"/>
      <c r="F618" s="6"/>
      <c r="G618" s="6"/>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hidden="1">
      <c r="A619" s="6"/>
      <c r="B619" s="6"/>
      <c r="C619" s="6"/>
      <c r="D619" s="6"/>
      <c r="E619" s="6"/>
      <c r="F619" s="6"/>
      <c r="G619" s="6"/>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hidden="1">
      <c r="A620" s="6"/>
      <c r="B620" s="6"/>
      <c r="C620" s="6"/>
      <c r="D620" s="6"/>
      <c r="E620" s="6"/>
      <c r="F620" s="6"/>
      <c r="G620" s="6"/>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hidden="1">
      <c r="A621" s="6"/>
      <c r="B621" s="6"/>
      <c r="C621" s="6"/>
      <c r="D621" s="6"/>
      <c r="E621" s="6"/>
      <c r="F621" s="6"/>
      <c r="G621" s="6"/>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hidden="1">
      <c r="A622" s="6"/>
      <c r="B622" s="6"/>
      <c r="C622" s="6"/>
      <c r="D622" s="6"/>
      <c r="E622" s="6"/>
      <c r="F622" s="6"/>
      <c r="G622" s="6"/>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hidden="1">
      <c r="A623" s="6"/>
      <c r="B623" s="6"/>
      <c r="C623" s="6"/>
      <c r="D623" s="6"/>
      <c r="E623" s="6"/>
      <c r="F623" s="6"/>
      <c r="G623" s="6"/>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hidden="1">
      <c r="A624" s="6"/>
      <c r="B624" s="6"/>
      <c r="C624" s="6"/>
      <c r="D624" s="6"/>
      <c r="E624" s="6"/>
      <c r="F624" s="6"/>
      <c r="G624" s="6"/>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hidden="1">
      <c r="A625" s="6"/>
      <c r="B625" s="6"/>
      <c r="C625" s="6"/>
      <c r="D625" s="6"/>
      <c r="E625" s="6"/>
      <c r="F625" s="6"/>
      <c r="G625" s="6"/>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hidden="1">
      <c r="A626" s="6"/>
      <c r="B626" s="6"/>
      <c r="C626" s="6"/>
      <c r="D626" s="6"/>
      <c r="E626" s="6"/>
      <c r="F626" s="6"/>
      <c r="G626" s="6"/>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hidden="1">
      <c r="A627" s="6"/>
      <c r="B627" s="6"/>
      <c r="C627" s="6"/>
      <c r="D627" s="6"/>
      <c r="E627" s="6"/>
      <c r="F627" s="6"/>
      <c r="G627" s="6"/>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hidden="1">
      <c r="A628" s="6"/>
      <c r="B628" s="6"/>
      <c r="C628" s="6"/>
      <c r="D628" s="6"/>
      <c r="E628" s="6"/>
      <c r="F628" s="6"/>
      <c r="G628" s="6"/>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hidden="1">
      <c r="A629" s="6"/>
      <c r="B629" s="6"/>
      <c r="C629" s="6"/>
      <c r="D629" s="6"/>
      <c r="E629" s="6"/>
      <c r="F629" s="6"/>
      <c r="G629" s="6"/>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hidden="1">
      <c r="A630" s="6"/>
      <c r="B630" s="6"/>
      <c r="C630" s="6"/>
      <c r="D630" s="6"/>
      <c r="E630" s="6"/>
      <c r="F630" s="6"/>
      <c r="G630" s="6"/>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hidden="1">
      <c r="A631" s="6"/>
      <c r="B631" s="6"/>
      <c r="C631" s="6"/>
      <c r="D631" s="6"/>
      <c r="E631" s="6"/>
      <c r="F631" s="6"/>
      <c r="G631" s="6"/>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hidden="1">
      <c r="A632" s="6"/>
      <c r="B632" s="6"/>
      <c r="C632" s="6"/>
      <c r="D632" s="6"/>
      <c r="E632" s="6"/>
      <c r="F632" s="6"/>
      <c r="G632" s="6"/>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hidden="1">
      <c r="A633" s="6"/>
      <c r="B633" s="6"/>
      <c r="C633" s="6"/>
      <c r="D633" s="6"/>
      <c r="E633" s="6"/>
      <c r="F633" s="6"/>
      <c r="G633" s="6"/>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hidden="1">
      <c r="A634" s="6"/>
      <c r="B634" s="6"/>
      <c r="C634" s="6"/>
      <c r="D634" s="6"/>
      <c r="E634" s="6"/>
      <c r="F634" s="6"/>
      <c r="G634" s="6"/>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hidden="1">
      <c r="A635" s="6"/>
      <c r="B635" s="6"/>
      <c r="C635" s="6"/>
      <c r="D635" s="6"/>
      <c r="E635" s="6"/>
      <c r="F635" s="6"/>
      <c r="G635" s="6"/>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hidden="1">
      <c r="A636" s="6"/>
      <c r="B636" s="6"/>
      <c r="C636" s="6"/>
      <c r="D636" s="6"/>
      <c r="E636" s="6"/>
      <c r="F636" s="6"/>
      <c r="G636" s="6"/>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hidden="1">
      <c r="A637" s="6"/>
      <c r="B637" s="6"/>
      <c r="C637" s="6"/>
      <c r="D637" s="6"/>
      <c r="E637" s="6"/>
      <c r="F637" s="6"/>
      <c r="G637" s="6"/>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hidden="1">
      <c r="A638" s="6"/>
      <c r="B638" s="6"/>
      <c r="C638" s="6"/>
      <c r="D638" s="6"/>
      <c r="E638" s="6"/>
      <c r="F638" s="6"/>
      <c r="G638" s="6"/>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hidden="1">
      <c r="A639" s="6"/>
      <c r="B639" s="6"/>
      <c r="C639" s="6"/>
      <c r="D639" s="6"/>
      <c r="E639" s="6"/>
      <c r="F639" s="6"/>
      <c r="G639" s="6"/>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hidden="1">
      <c r="A640" s="6"/>
      <c r="B640" s="6"/>
      <c r="C640" s="6"/>
      <c r="D640" s="6"/>
      <c r="E640" s="6"/>
      <c r="F640" s="6"/>
      <c r="G640" s="6"/>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hidden="1">
      <c r="A641" s="6"/>
      <c r="B641" s="6"/>
      <c r="C641" s="6"/>
      <c r="D641" s="6"/>
      <c r="E641" s="6"/>
      <c r="F641" s="6"/>
      <c r="G641" s="6"/>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hidden="1">
      <c r="A642" s="6"/>
      <c r="B642" s="6"/>
      <c r="C642" s="6"/>
      <c r="D642" s="6"/>
      <c r="E642" s="6"/>
      <c r="F642" s="6"/>
      <c r="G642" s="6"/>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hidden="1">
      <c r="A643" s="6"/>
      <c r="B643" s="6"/>
      <c r="C643" s="6"/>
      <c r="D643" s="6"/>
      <c r="E643" s="6"/>
      <c r="F643" s="6"/>
      <c r="G643" s="6"/>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hidden="1">
      <c r="A644" s="6"/>
      <c r="B644" s="6"/>
      <c r="C644" s="6"/>
      <c r="D644" s="6"/>
      <c r="E644" s="6"/>
      <c r="F644" s="6"/>
      <c r="G644" s="6"/>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hidden="1">
      <c r="A645" s="6"/>
      <c r="B645" s="6"/>
      <c r="C645" s="6"/>
      <c r="D645" s="6"/>
      <c r="E645" s="6"/>
      <c r="F645" s="6"/>
      <c r="G645" s="6"/>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hidden="1">
      <c r="A646" s="6"/>
      <c r="B646" s="6"/>
      <c r="C646" s="6"/>
      <c r="D646" s="6"/>
      <c r="E646" s="6"/>
      <c r="F646" s="6"/>
      <c r="G646" s="6"/>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hidden="1">
      <c r="A647" s="6"/>
      <c r="B647" s="6"/>
      <c r="C647" s="6"/>
      <c r="D647" s="6"/>
      <c r="E647" s="6"/>
      <c r="F647" s="6"/>
      <c r="G647" s="6"/>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hidden="1">
      <c r="A648" s="6"/>
      <c r="B648" s="6"/>
      <c r="C648" s="6"/>
      <c r="D648" s="6"/>
      <c r="E648" s="6"/>
      <c r="F648" s="6"/>
      <c r="G648" s="6"/>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hidden="1">
      <c r="A649" s="6"/>
      <c r="B649" s="6"/>
      <c r="C649" s="6"/>
      <c r="D649" s="6"/>
      <c r="E649" s="6"/>
      <c r="F649" s="6"/>
      <c r="G649" s="6"/>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hidden="1">
      <c r="A650" s="6"/>
      <c r="B650" s="6"/>
      <c r="C650" s="6"/>
      <c r="D650" s="6"/>
      <c r="E650" s="6"/>
      <c r="F650" s="6"/>
      <c r="G650" s="6"/>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hidden="1">
      <c r="A651" s="6"/>
      <c r="B651" s="6"/>
      <c r="C651" s="6"/>
      <c r="D651" s="6"/>
      <c r="E651" s="6"/>
      <c r="F651" s="6"/>
      <c r="G651" s="6"/>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hidden="1">
      <c r="A652" s="6"/>
      <c r="B652" s="6"/>
      <c r="C652" s="6"/>
      <c r="D652" s="6"/>
      <c r="E652" s="6"/>
      <c r="F652" s="6"/>
      <c r="G652" s="6"/>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hidden="1">
      <c r="A653" s="6"/>
      <c r="B653" s="6"/>
      <c r="C653" s="6"/>
      <c r="D653" s="6"/>
      <c r="E653" s="6"/>
      <c r="F653" s="6"/>
      <c r="G653" s="6"/>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hidden="1">
      <c r="A654" s="6"/>
      <c r="B654" s="6"/>
      <c r="C654" s="6"/>
      <c r="D654" s="6"/>
      <c r="E654" s="6"/>
      <c r="F654" s="6"/>
      <c r="G654" s="6"/>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hidden="1">
      <c r="A655" s="6"/>
      <c r="B655" s="6"/>
      <c r="C655" s="6"/>
      <c r="D655" s="6"/>
      <c r="E655" s="6"/>
      <c r="F655" s="6"/>
      <c r="G655" s="6"/>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hidden="1">
      <c r="A656" s="6"/>
      <c r="B656" s="6"/>
      <c r="C656" s="6"/>
      <c r="D656" s="6"/>
      <c r="E656" s="6"/>
      <c r="F656" s="6"/>
      <c r="G656" s="6"/>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hidden="1">
      <c r="A657" s="6"/>
      <c r="B657" s="6"/>
      <c r="C657" s="6"/>
      <c r="D657" s="6"/>
      <c r="E657" s="6"/>
      <c r="F657" s="6"/>
      <c r="G657" s="6"/>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hidden="1">
      <c r="A658" s="6"/>
      <c r="B658" s="6"/>
      <c r="C658" s="6"/>
      <c r="D658" s="6"/>
      <c r="E658" s="6"/>
      <c r="F658" s="6"/>
      <c r="G658" s="6"/>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hidden="1">
      <c r="A659" s="6"/>
      <c r="B659" s="6"/>
      <c r="C659" s="6"/>
      <c r="D659" s="6"/>
      <c r="E659" s="6"/>
      <c r="F659" s="6"/>
      <c r="G659" s="6"/>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hidden="1">
      <c r="A660" s="6"/>
      <c r="B660" s="6"/>
      <c r="C660" s="6"/>
      <c r="D660" s="6"/>
      <c r="E660" s="6"/>
      <c r="F660" s="6"/>
      <c r="G660" s="6"/>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hidden="1">
      <c r="A661" s="6"/>
      <c r="B661" s="6"/>
      <c r="C661" s="6"/>
      <c r="D661" s="6"/>
      <c r="E661" s="6"/>
      <c r="F661" s="6"/>
      <c r="G661" s="6"/>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hidden="1">
      <c r="A662" s="6"/>
      <c r="B662" s="6"/>
      <c r="C662" s="6"/>
      <c r="D662" s="6"/>
      <c r="E662" s="6"/>
      <c r="F662" s="6"/>
      <c r="G662" s="6"/>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hidden="1">
      <c r="A663" s="6"/>
      <c r="B663" s="6"/>
      <c r="C663" s="6"/>
      <c r="D663" s="6"/>
      <c r="E663" s="6"/>
      <c r="F663" s="6"/>
      <c r="G663" s="6"/>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hidden="1">
      <c r="A664" s="6"/>
      <c r="B664" s="6"/>
      <c r="C664" s="6"/>
      <c r="D664" s="6"/>
      <c r="E664" s="6"/>
      <c r="F664" s="6"/>
      <c r="G664" s="6"/>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hidden="1">
      <c r="A665" s="6"/>
      <c r="B665" s="6"/>
      <c r="C665" s="6"/>
      <c r="D665" s="6"/>
      <c r="E665" s="6"/>
      <c r="F665" s="6"/>
      <c r="G665" s="6"/>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hidden="1">
      <c r="A666" s="6"/>
      <c r="B666" s="6"/>
      <c r="C666" s="6"/>
      <c r="D666" s="6"/>
      <c r="E666" s="6"/>
      <c r="F666" s="6"/>
      <c r="G666" s="6"/>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hidden="1">
      <c r="A667" s="6"/>
      <c r="B667" s="6"/>
      <c r="C667" s="6"/>
      <c r="D667" s="6"/>
      <c r="E667" s="6"/>
      <c r="F667" s="6"/>
      <c r="G667" s="6"/>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hidden="1">
      <c r="A668" s="6"/>
      <c r="B668" s="6"/>
      <c r="C668" s="6"/>
      <c r="D668" s="6"/>
      <c r="E668" s="6"/>
      <c r="F668" s="6"/>
      <c r="G668" s="6"/>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hidden="1">
      <c r="A669" s="6"/>
      <c r="B669" s="6"/>
      <c r="C669" s="6"/>
      <c r="D669" s="6"/>
      <c r="E669" s="6"/>
      <c r="F669" s="6"/>
      <c r="G669" s="6"/>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hidden="1">
      <c r="A670" s="6"/>
      <c r="B670" s="6"/>
      <c r="C670" s="6"/>
      <c r="D670" s="6"/>
      <c r="E670" s="6"/>
      <c r="F670" s="6"/>
      <c r="G670" s="6"/>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hidden="1">
      <c r="A671" s="6"/>
      <c r="B671" s="6"/>
      <c r="C671" s="6"/>
      <c r="D671" s="6"/>
      <c r="E671" s="6"/>
      <c r="F671" s="6"/>
      <c r="G671" s="6"/>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hidden="1">
      <c r="A672" s="6"/>
      <c r="B672" s="6"/>
      <c r="C672" s="6"/>
      <c r="D672" s="6"/>
      <c r="E672" s="6"/>
      <c r="F672" s="6"/>
      <c r="G672" s="6"/>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hidden="1">
      <c r="A673" s="6"/>
      <c r="B673" s="6"/>
      <c r="C673" s="6"/>
      <c r="D673" s="6"/>
      <c r="E673" s="6"/>
      <c r="F673" s="6"/>
      <c r="G673" s="6"/>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hidden="1">
      <c r="A674" s="6"/>
      <c r="B674" s="6"/>
      <c r="C674" s="6"/>
      <c r="D674" s="6"/>
      <c r="E674" s="6"/>
      <c r="F674" s="6"/>
      <c r="G674" s="6"/>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hidden="1">
      <c r="A675" s="6"/>
      <c r="B675" s="6"/>
      <c r="C675" s="6"/>
      <c r="D675" s="6"/>
      <c r="E675" s="6"/>
      <c r="F675" s="6"/>
      <c r="G675" s="6"/>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hidden="1">
      <c r="A676" s="6"/>
      <c r="B676" s="6"/>
      <c r="C676" s="6"/>
      <c r="D676" s="6"/>
      <c r="E676" s="6"/>
      <c r="F676" s="6"/>
      <c r="G676" s="6"/>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hidden="1">
      <c r="A677" s="6"/>
      <c r="B677" s="6"/>
      <c r="C677" s="6"/>
      <c r="D677" s="6"/>
      <c r="E677" s="6"/>
      <c r="F677" s="6"/>
      <c r="G677" s="6"/>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hidden="1">
      <c r="A678" s="6"/>
      <c r="B678" s="6"/>
      <c r="C678" s="6"/>
      <c r="D678" s="6"/>
      <c r="E678" s="6"/>
      <c r="F678" s="6"/>
      <c r="G678" s="6"/>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hidden="1">
      <c r="A679" s="6"/>
      <c r="B679" s="6"/>
      <c r="C679" s="6"/>
      <c r="D679" s="6"/>
      <c r="E679" s="6"/>
      <c r="F679" s="6"/>
      <c r="G679" s="6"/>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hidden="1">
      <c r="A680" s="6"/>
      <c r="B680" s="6"/>
      <c r="C680" s="6"/>
      <c r="D680" s="6"/>
      <c r="E680" s="6"/>
      <c r="F680" s="6"/>
      <c r="G680" s="6"/>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hidden="1">
      <c r="A681" s="6"/>
      <c r="B681" s="6"/>
      <c r="C681" s="6"/>
      <c r="D681" s="6"/>
      <c r="E681" s="6"/>
      <c r="F681" s="6"/>
      <c r="G681" s="6"/>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hidden="1">
      <c r="A682" s="6"/>
      <c r="B682" s="6"/>
      <c r="C682" s="6"/>
      <c r="D682" s="6"/>
      <c r="E682" s="6"/>
      <c r="F682" s="6"/>
      <c r="G682" s="6"/>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hidden="1">
      <c r="A683" s="6"/>
      <c r="B683" s="6"/>
      <c r="C683" s="6"/>
      <c r="D683" s="6"/>
      <c r="E683" s="6"/>
      <c r="F683" s="6"/>
      <c r="G683" s="6"/>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hidden="1">
      <c r="A684" s="6"/>
      <c r="B684" s="6"/>
      <c r="C684" s="6"/>
      <c r="D684" s="6"/>
      <c r="E684" s="6"/>
      <c r="F684" s="6"/>
      <c r="G684" s="6"/>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hidden="1">
      <c r="A685" s="6"/>
      <c r="B685" s="6"/>
      <c r="C685" s="6"/>
      <c r="D685" s="6"/>
      <c r="E685" s="6"/>
      <c r="F685" s="6"/>
      <c r="G685" s="6"/>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hidden="1">
      <c r="A686" s="6"/>
      <c r="B686" s="6"/>
      <c r="C686" s="6"/>
      <c r="D686" s="6"/>
      <c r="E686" s="6"/>
      <c r="F686" s="6"/>
      <c r="G686" s="6"/>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hidden="1">
      <c r="A687" s="6"/>
      <c r="B687" s="6"/>
      <c r="C687" s="6"/>
      <c r="D687" s="6"/>
      <c r="E687" s="6"/>
      <c r="F687" s="6"/>
      <c r="G687" s="6"/>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hidden="1">
      <c r="A688" s="6"/>
      <c r="B688" s="6"/>
      <c r="C688" s="6"/>
      <c r="D688" s="6"/>
      <c r="E688" s="6"/>
      <c r="F688" s="6"/>
      <c r="G688" s="6"/>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hidden="1">
      <c r="A689" s="6"/>
      <c r="B689" s="6"/>
      <c r="C689" s="6"/>
      <c r="D689" s="6"/>
      <c r="E689" s="6"/>
      <c r="F689" s="6"/>
      <c r="G689" s="6"/>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hidden="1">
      <c r="A690" s="6"/>
      <c r="B690" s="6"/>
      <c r="C690" s="6"/>
      <c r="D690" s="6"/>
      <c r="E690" s="6"/>
      <c r="F690" s="6"/>
      <c r="G690" s="6"/>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hidden="1">
      <c r="A691" s="6"/>
      <c r="B691" s="6"/>
      <c r="C691" s="6"/>
      <c r="D691" s="6"/>
      <c r="E691" s="6"/>
      <c r="F691" s="6"/>
      <c r="G691" s="6"/>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hidden="1">
      <c r="A692" s="6"/>
      <c r="B692" s="6"/>
      <c r="C692" s="6"/>
      <c r="D692" s="6"/>
      <c r="E692" s="6"/>
      <c r="F692" s="6"/>
      <c r="G692" s="6"/>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hidden="1">
      <c r="A693" s="6"/>
      <c r="B693" s="6"/>
      <c r="C693" s="6"/>
      <c r="D693" s="6"/>
      <c r="E693" s="6"/>
      <c r="F693" s="6"/>
      <c r="G693" s="6"/>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hidden="1">
      <c r="A694" s="6"/>
      <c r="B694" s="6"/>
      <c r="C694" s="6"/>
      <c r="D694" s="6"/>
      <c r="E694" s="6"/>
      <c r="F694" s="6"/>
      <c r="G694" s="6"/>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hidden="1">
      <c r="A695" s="6"/>
      <c r="B695" s="6"/>
      <c r="C695" s="6"/>
      <c r="D695" s="6"/>
      <c r="E695" s="6"/>
      <c r="F695" s="6"/>
      <c r="G695" s="6"/>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hidden="1">
      <c r="A696" s="6"/>
      <c r="B696" s="6"/>
      <c r="C696" s="6"/>
      <c r="D696" s="6"/>
      <c r="E696" s="6"/>
      <c r="F696" s="6"/>
      <c r="G696" s="6"/>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hidden="1">
      <c r="A697" s="6"/>
      <c r="B697" s="6"/>
      <c r="C697" s="6"/>
      <c r="D697" s="6"/>
      <c r="E697" s="6"/>
      <c r="F697" s="6"/>
      <c r="G697" s="6"/>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hidden="1">
      <c r="A698" s="6"/>
      <c r="B698" s="6"/>
      <c r="C698" s="6"/>
      <c r="D698" s="6"/>
      <c r="E698" s="6"/>
      <c r="F698" s="6"/>
      <c r="G698" s="6"/>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hidden="1">
      <c r="A699" s="6"/>
      <c r="B699" s="6"/>
      <c r="C699" s="6"/>
      <c r="D699" s="6"/>
      <c r="E699" s="6"/>
      <c r="F699" s="6"/>
      <c r="G699" s="6"/>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hidden="1">
      <c r="A700" s="6"/>
      <c r="B700" s="6"/>
      <c r="C700" s="6"/>
      <c r="D700" s="6"/>
      <c r="E700" s="6"/>
      <c r="F700" s="6"/>
      <c r="G700" s="6"/>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hidden="1">
      <c r="A701" s="6"/>
      <c r="B701" s="6"/>
      <c r="C701" s="6"/>
      <c r="D701" s="6"/>
      <c r="E701" s="6"/>
      <c r="F701" s="6"/>
      <c r="G701" s="6"/>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hidden="1">
      <c r="A702" s="6"/>
      <c r="B702" s="6"/>
      <c r="C702" s="6"/>
      <c r="D702" s="6"/>
      <c r="E702" s="6"/>
      <c r="F702" s="6"/>
      <c r="G702" s="6"/>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hidden="1">
      <c r="A703" s="6"/>
      <c r="B703" s="6"/>
      <c r="C703" s="6"/>
      <c r="D703" s="6"/>
      <c r="E703" s="6"/>
      <c r="F703" s="6"/>
      <c r="G703" s="6"/>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hidden="1">
      <c r="A704" s="6"/>
      <c r="B704" s="6"/>
      <c r="C704" s="6"/>
      <c r="D704" s="6"/>
      <c r="E704" s="6"/>
      <c r="F704" s="6"/>
      <c r="G704" s="6"/>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hidden="1">
      <c r="A705" s="6"/>
      <c r="B705" s="6"/>
      <c r="C705" s="6"/>
      <c r="D705" s="6"/>
      <c r="E705" s="6"/>
      <c r="F705" s="6"/>
      <c r="G705" s="6"/>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hidden="1">
      <c r="A706" s="6"/>
      <c r="B706" s="6"/>
      <c r="C706" s="6"/>
      <c r="D706" s="6"/>
      <c r="E706" s="6"/>
      <c r="F706" s="6"/>
      <c r="G706" s="6"/>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hidden="1">
      <c r="A707" s="6"/>
      <c r="B707" s="6"/>
      <c r="C707" s="6"/>
      <c r="D707" s="6"/>
      <c r="E707" s="6"/>
      <c r="F707" s="6"/>
      <c r="G707" s="6"/>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hidden="1">
      <c r="A708" s="6"/>
      <c r="B708" s="6"/>
      <c r="C708" s="6"/>
      <c r="D708" s="6"/>
      <c r="E708" s="6"/>
      <c r="F708" s="6"/>
      <c r="G708" s="6"/>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hidden="1">
      <c r="A709" s="6"/>
      <c r="B709" s="6"/>
      <c r="C709" s="6"/>
      <c r="D709" s="6"/>
      <c r="E709" s="6"/>
      <c r="F709" s="6"/>
      <c r="G709" s="6"/>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hidden="1">
      <c r="A710" s="6"/>
      <c r="B710" s="6"/>
      <c r="C710" s="6"/>
      <c r="D710" s="6"/>
      <c r="E710" s="6"/>
      <c r="F710" s="6"/>
      <c r="G710" s="6"/>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hidden="1">
      <c r="A711" s="6"/>
      <c r="B711" s="6"/>
      <c r="C711" s="6"/>
      <c r="D711" s="6"/>
      <c r="E711" s="6"/>
      <c r="F711" s="6"/>
      <c r="G711" s="6"/>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hidden="1">
      <c r="A712" s="6"/>
      <c r="B712" s="6"/>
      <c r="C712" s="6"/>
      <c r="D712" s="6"/>
      <c r="E712" s="6"/>
      <c r="F712" s="6"/>
      <c r="G712" s="6"/>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hidden="1">
      <c r="A713" s="6"/>
      <c r="B713" s="6"/>
      <c r="C713" s="6"/>
      <c r="D713" s="6"/>
      <c r="E713" s="6"/>
      <c r="F713" s="6"/>
      <c r="G713" s="6"/>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hidden="1">
      <c r="A714" s="6"/>
      <c r="B714" s="6"/>
      <c r="C714" s="6"/>
      <c r="D714" s="6"/>
      <c r="E714" s="6"/>
      <c r="F714" s="6"/>
      <c r="G714" s="6"/>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hidden="1">
      <c r="A715" s="6"/>
      <c r="B715" s="6"/>
      <c r="C715" s="6"/>
      <c r="D715" s="6"/>
      <c r="E715" s="6"/>
      <c r="F715" s="6"/>
      <c r="G715" s="6"/>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hidden="1">
      <c r="A716" s="6"/>
      <c r="B716" s="6"/>
      <c r="C716" s="6"/>
      <c r="D716" s="6"/>
      <c r="E716" s="6"/>
      <c r="F716" s="6"/>
      <c r="G716" s="6"/>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hidden="1">
      <c r="A717" s="6"/>
      <c r="B717" s="6"/>
      <c r="C717" s="6"/>
      <c r="D717" s="6"/>
      <c r="E717" s="6"/>
      <c r="F717" s="6"/>
      <c r="G717" s="6"/>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hidden="1">
      <c r="A718" s="6"/>
      <c r="B718" s="6"/>
      <c r="C718" s="6"/>
      <c r="D718" s="6"/>
      <c r="E718" s="6"/>
      <c r="F718" s="6"/>
      <c r="G718" s="6"/>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hidden="1">
      <c r="A719" s="6"/>
      <c r="B719" s="6"/>
      <c r="C719" s="6"/>
      <c r="D719" s="6"/>
      <c r="E719" s="6"/>
      <c r="F719" s="6"/>
      <c r="G719" s="6"/>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hidden="1">
      <c r="A720" s="6"/>
      <c r="B720" s="6"/>
      <c r="C720" s="6"/>
      <c r="D720" s="6"/>
      <c r="E720" s="6"/>
      <c r="F720" s="6"/>
      <c r="G720" s="6"/>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hidden="1">
      <c r="A721" s="6"/>
      <c r="B721" s="6"/>
      <c r="C721" s="6"/>
      <c r="D721" s="6"/>
      <c r="E721" s="6"/>
      <c r="F721" s="6"/>
      <c r="G721" s="6"/>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hidden="1">
      <c r="A722" s="6"/>
      <c r="B722" s="6"/>
      <c r="C722" s="6"/>
      <c r="D722" s="6"/>
      <c r="E722" s="6"/>
      <c r="F722" s="6"/>
      <c r="G722" s="6"/>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hidden="1">
      <c r="A723" s="6"/>
      <c r="B723" s="6"/>
      <c r="C723" s="6"/>
      <c r="D723" s="6"/>
      <c r="E723" s="6"/>
      <c r="F723" s="6"/>
      <c r="G723" s="6"/>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hidden="1">
      <c r="A724" s="6"/>
      <c r="B724" s="6"/>
      <c r="C724" s="6"/>
      <c r="D724" s="6"/>
      <c r="E724" s="6"/>
      <c r="F724" s="6"/>
      <c r="G724" s="6"/>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hidden="1">
      <c r="A725" s="6"/>
      <c r="B725" s="6"/>
      <c r="C725" s="6"/>
      <c r="D725" s="6"/>
      <c r="E725" s="6"/>
      <c r="F725" s="6"/>
      <c r="G725" s="6"/>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hidden="1">
      <c r="A726" s="6"/>
      <c r="B726" s="6"/>
      <c r="C726" s="6"/>
      <c r="D726" s="6"/>
      <c r="E726" s="6"/>
      <c r="F726" s="6"/>
      <c r="G726" s="6"/>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hidden="1">
      <c r="A727" s="6"/>
      <c r="B727" s="6"/>
      <c r="C727" s="6"/>
      <c r="D727" s="6"/>
      <c r="E727" s="6"/>
      <c r="F727" s="6"/>
      <c r="G727" s="6"/>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hidden="1">
      <c r="A728" s="6"/>
      <c r="B728" s="6"/>
      <c r="C728" s="6"/>
      <c r="D728" s="6"/>
      <c r="E728" s="6"/>
      <c r="F728" s="6"/>
      <c r="G728" s="6"/>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hidden="1">
      <c r="A729" s="6"/>
      <c r="B729" s="6"/>
      <c r="C729" s="6"/>
      <c r="D729" s="6"/>
      <c r="E729" s="6"/>
      <c r="F729" s="6"/>
      <c r="G729" s="6"/>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hidden="1">
      <c r="A730" s="6"/>
      <c r="B730" s="6"/>
      <c r="C730" s="6"/>
      <c r="D730" s="6"/>
      <c r="E730" s="6"/>
      <c r="F730" s="6"/>
      <c r="G730" s="6"/>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hidden="1">
      <c r="A731" s="6"/>
      <c r="B731" s="6"/>
      <c r="C731" s="6"/>
      <c r="D731" s="6"/>
      <c r="E731" s="6"/>
      <c r="F731" s="6"/>
      <c r="G731" s="6"/>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hidden="1">
      <c r="A732" s="6"/>
      <c r="B732" s="6"/>
      <c r="C732" s="6"/>
      <c r="D732" s="6"/>
      <c r="E732" s="6"/>
      <c r="F732" s="6"/>
      <c r="G732" s="6"/>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hidden="1">
      <c r="A733" s="6"/>
      <c r="B733" s="6"/>
      <c r="C733" s="6"/>
      <c r="D733" s="6"/>
      <c r="E733" s="6"/>
      <c r="F733" s="6"/>
      <c r="G733" s="6"/>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hidden="1">
      <c r="A734" s="6"/>
      <c r="B734" s="6"/>
      <c r="C734" s="6"/>
      <c r="D734" s="6"/>
      <c r="E734" s="6"/>
      <c r="F734" s="6"/>
      <c r="G734" s="6"/>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hidden="1">
      <c r="A735" s="6"/>
      <c r="B735" s="6"/>
      <c r="C735" s="6"/>
      <c r="D735" s="6"/>
      <c r="E735" s="6"/>
      <c r="F735" s="6"/>
      <c r="G735" s="6"/>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hidden="1">
      <c r="A736" s="6"/>
      <c r="B736" s="6"/>
      <c r="C736" s="6"/>
      <c r="D736" s="6"/>
      <c r="E736" s="6"/>
      <c r="F736" s="6"/>
      <c r="G736" s="6"/>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hidden="1">
      <c r="A737" s="6"/>
      <c r="B737" s="6"/>
      <c r="C737" s="6"/>
      <c r="D737" s="6"/>
      <c r="E737" s="6"/>
      <c r="F737" s="6"/>
      <c r="G737" s="6"/>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hidden="1">
      <c r="A738" s="6"/>
      <c r="B738" s="6"/>
      <c r="C738" s="6"/>
      <c r="D738" s="6"/>
      <c r="E738" s="6"/>
      <c r="F738" s="6"/>
      <c r="G738" s="6"/>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hidden="1">
      <c r="A739" s="6"/>
      <c r="B739" s="6"/>
      <c r="C739" s="6"/>
      <c r="D739" s="6"/>
      <c r="E739" s="6"/>
      <c r="F739" s="6"/>
      <c r="G739" s="6"/>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hidden="1">
      <c r="A740" s="6"/>
      <c r="B740" s="6"/>
      <c r="C740" s="6"/>
      <c r="D740" s="6"/>
      <c r="E740" s="6"/>
      <c r="F740" s="6"/>
      <c r="G740" s="6"/>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hidden="1">
      <c r="A741" s="6"/>
      <c r="B741" s="6"/>
      <c r="C741" s="6"/>
      <c r="D741" s="6"/>
      <c r="E741" s="6"/>
      <c r="F741" s="6"/>
      <c r="G741" s="6"/>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hidden="1">
      <c r="A742" s="6"/>
      <c r="B742" s="6"/>
      <c r="C742" s="6"/>
      <c r="D742" s="6"/>
      <c r="E742" s="6"/>
      <c r="F742" s="6"/>
      <c r="G742" s="6"/>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hidden="1">
      <c r="A743" s="6"/>
      <c r="B743" s="6"/>
      <c r="C743" s="6"/>
      <c r="D743" s="6"/>
      <c r="E743" s="6"/>
      <c r="F743" s="6"/>
      <c r="G743" s="6"/>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hidden="1">
      <c r="A744" s="6"/>
      <c r="B744" s="6"/>
      <c r="C744" s="6"/>
      <c r="D744" s="6"/>
      <c r="E744" s="6"/>
      <c r="F744" s="6"/>
      <c r="G744" s="6"/>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hidden="1">
      <c r="A745" s="6"/>
      <c r="B745" s="6"/>
      <c r="C745" s="6"/>
      <c r="D745" s="6"/>
      <c r="E745" s="6"/>
      <c r="F745" s="6"/>
      <c r="G745" s="6"/>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hidden="1">
      <c r="A746" s="6"/>
      <c r="B746" s="6"/>
      <c r="C746" s="6"/>
      <c r="D746" s="6"/>
      <c r="E746" s="6"/>
      <c r="F746" s="6"/>
      <c r="G746" s="6"/>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hidden="1">
      <c r="A747" s="6"/>
      <c r="B747" s="6"/>
      <c r="C747" s="6"/>
      <c r="D747" s="6"/>
      <c r="E747" s="6"/>
      <c r="F747" s="6"/>
      <c r="G747" s="6"/>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hidden="1">
      <c r="A748" s="6"/>
      <c r="B748" s="6"/>
      <c r="C748" s="6"/>
      <c r="D748" s="6"/>
      <c r="E748" s="6"/>
      <c r="F748" s="6"/>
      <c r="G748" s="6"/>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hidden="1">
      <c r="A749" s="6"/>
      <c r="B749" s="6"/>
      <c r="C749" s="6"/>
      <c r="D749" s="6"/>
      <c r="E749" s="6"/>
      <c r="F749" s="6"/>
      <c r="G749" s="6"/>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hidden="1">
      <c r="A750" s="6"/>
      <c r="B750" s="6"/>
      <c r="C750" s="6"/>
      <c r="D750" s="6"/>
      <c r="E750" s="6"/>
      <c r="F750" s="6"/>
      <c r="G750" s="6"/>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hidden="1">
      <c r="A751" s="6"/>
      <c r="B751" s="6"/>
      <c r="C751" s="6"/>
      <c r="D751" s="6"/>
      <c r="E751" s="6"/>
      <c r="F751" s="6"/>
      <c r="G751" s="6"/>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hidden="1">
      <c r="A752" s="6"/>
      <c r="B752" s="6"/>
      <c r="C752" s="6"/>
      <c r="D752" s="6"/>
      <c r="E752" s="6"/>
      <c r="F752" s="6"/>
      <c r="G752" s="6"/>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hidden="1">
      <c r="A753" s="6"/>
      <c r="B753" s="6"/>
      <c r="C753" s="6"/>
      <c r="D753" s="6"/>
      <c r="E753" s="6"/>
      <c r="F753" s="6"/>
      <c r="G753" s="6"/>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hidden="1">
      <c r="A754" s="6"/>
      <c r="B754" s="6"/>
      <c r="C754" s="6"/>
      <c r="D754" s="6"/>
      <c r="E754" s="6"/>
      <c r="F754" s="6"/>
      <c r="G754" s="6"/>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hidden="1">
      <c r="A755" s="6"/>
      <c r="B755" s="6"/>
      <c r="C755" s="6"/>
      <c r="D755" s="6"/>
      <c r="E755" s="6"/>
      <c r="F755" s="6"/>
      <c r="G755" s="6"/>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hidden="1">
      <c r="A756" s="6"/>
      <c r="B756" s="6"/>
      <c r="C756" s="6"/>
      <c r="D756" s="6"/>
      <c r="E756" s="6"/>
      <c r="F756" s="6"/>
      <c r="G756" s="6"/>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hidden="1">
      <c r="A757" s="6"/>
      <c r="B757" s="6"/>
      <c r="C757" s="6"/>
      <c r="D757" s="6"/>
      <c r="E757" s="6"/>
      <c r="F757" s="6"/>
      <c r="G757" s="6"/>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hidden="1">
      <c r="A758" s="6"/>
      <c r="B758" s="6"/>
      <c r="C758" s="6"/>
      <c r="D758" s="6"/>
      <c r="E758" s="6"/>
      <c r="F758" s="6"/>
      <c r="G758" s="6"/>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hidden="1">
      <c r="A759" s="6"/>
      <c r="B759" s="6"/>
      <c r="C759" s="6"/>
      <c r="D759" s="6"/>
      <c r="E759" s="6"/>
      <c r="F759" s="6"/>
      <c r="G759" s="6"/>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hidden="1">
      <c r="A760" s="6"/>
      <c r="B760" s="6"/>
      <c r="C760" s="6"/>
      <c r="D760" s="6"/>
      <c r="E760" s="6"/>
      <c r="F760" s="6"/>
      <c r="G760" s="6"/>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hidden="1">
      <c r="A761" s="6"/>
      <c r="B761" s="6"/>
      <c r="C761" s="6"/>
      <c r="D761" s="6"/>
      <c r="E761" s="6"/>
      <c r="F761" s="6"/>
      <c r="G761" s="6"/>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hidden="1">
      <c r="A762" s="6"/>
      <c r="B762" s="6"/>
      <c r="C762" s="6"/>
      <c r="D762" s="6"/>
      <c r="E762" s="6"/>
      <c r="F762" s="6"/>
      <c r="G762" s="6"/>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hidden="1">
      <c r="A763" s="6"/>
      <c r="B763" s="6"/>
      <c r="C763" s="6"/>
      <c r="D763" s="6"/>
      <c r="E763" s="6"/>
      <c r="F763" s="6"/>
      <c r="G763" s="6"/>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hidden="1">
      <c r="A764" s="6"/>
      <c r="B764" s="6"/>
      <c r="C764" s="6"/>
      <c r="D764" s="6"/>
      <c r="E764" s="6"/>
      <c r="F764" s="6"/>
      <c r="G764" s="6"/>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hidden="1">
      <c r="A765" s="6"/>
      <c r="B765" s="6"/>
      <c r="C765" s="6"/>
      <c r="D765" s="6"/>
      <c r="E765" s="6"/>
      <c r="F765" s="6"/>
      <c r="G765" s="6"/>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hidden="1">
      <c r="A766" s="6"/>
      <c r="B766" s="6"/>
      <c r="C766" s="6"/>
      <c r="D766" s="6"/>
      <c r="E766" s="6"/>
      <c r="F766" s="6"/>
      <c r="G766" s="6"/>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hidden="1">
      <c r="A767" s="6"/>
      <c r="B767" s="6"/>
      <c r="C767" s="6"/>
      <c r="D767" s="6"/>
      <c r="E767" s="6"/>
      <c r="F767" s="6"/>
      <c r="G767" s="6"/>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hidden="1">
      <c r="A768" s="6"/>
      <c r="B768" s="6"/>
      <c r="C768" s="6"/>
      <c r="D768" s="6"/>
      <c r="E768" s="6"/>
      <c r="F768" s="6"/>
      <c r="G768" s="6"/>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hidden="1">
      <c r="A769" s="6"/>
      <c r="B769" s="6"/>
      <c r="C769" s="6"/>
      <c r="D769" s="6"/>
      <c r="E769" s="6"/>
      <c r="F769" s="6"/>
      <c r="G769" s="6"/>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hidden="1">
      <c r="A770" s="6"/>
      <c r="B770" s="6"/>
      <c r="C770" s="6"/>
      <c r="D770" s="6"/>
      <c r="E770" s="6"/>
      <c r="F770" s="6"/>
      <c r="G770" s="6"/>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hidden="1">
      <c r="A771" s="6"/>
      <c r="B771" s="6"/>
      <c r="C771" s="6"/>
      <c r="D771" s="6"/>
      <c r="E771" s="6"/>
      <c r="F771" s="6"/>
      <c r="G771" s="6"/>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hidden="1">
      <c r="A772" s="6"/>
      <c r="B772" s="6"/>
      <c r="C772" s="6"/>
      <c r="D772" s="6"/>
      <c r="E772" s="6"/>
      <c r="F772" s="6"/>
      <c r="G772" s="6"/>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hidden="1">
      <c r="A773" s="6"/>
      <c r="B773" s="6"/>
      <c r="C773" s="6"/>
      <c r="D773" s="6"/>
      <c r="E773" s="6"/>
      <c r="F773" s="6"/>
      <c r="G773" s="6"/>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hidden="1">
      <c r="A774" s="6"/>
      <c r="B774" s="6"/>
      <c r="C774" s="6"/>
      <c r="D774" s="6"/>
      <c r="E774" s="6"/>
      <c r="F774" s="6"/>
      <c r="G774" s="6"/>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hidden="1">
      <c r="A775" s="6"/>
      <c r="B775" s="6"/>
      <c r="C775" s="6"/>
      <c r="D775" s="6"/>
      <c r="E775" s="6"/>
      <c r="F775" s="6"/>
      <c r="G775" s="6"/>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hidden="1">
      <c r="A776" s="6"/>
      <c r="B776" s="6"/>
      <c r="C776" s="6"/>
      <c r="D776" s="6"/>
      <c r="E776" s="6"/>
      <c r="F776" s="6"/>
      <c r="G776" s="6"/>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hidden="1">
      <c r="A777" s="6"/>
      <c r="B777" s="6"/>
      <c r="C777" s="6"/>
      <c r="D777" s="6"/>
      <c r="E777" s="6"/>
      <c r="F777" s="6"/>
      <c r="G777" s="6"/>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hidden="1">
      <c r="A778" s="6"/>
      <c r="B778" s="6"/>
      <c r="C778" s="6"/>
      <c r="D778" s="6"/>
      <c r="E778" s="6"/>
      <c r="F778" s="6"/>
      <c r="G778" s="6"/>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hidden="1">
      <c r="A779" s="6"/>
      <c r="B779" s="6"/>
      <c r="C779" s="6"/>
      <c r="D779" s="6"/>
      <c r="E779" s="6"/>
      <c r="F779" s="6"/>
      <c r="G779" s="6"/>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hidden="1">
      <c r="A780" s="6"/>
      <c r="B780" s="6"/>
      <c r="C780" s="6"/>
      <c r="D780" s="6"/>
      <c r="E780" s="6"/>
      <c r="F780" s="6"/>
      <c r="G780" s="6"/>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hidden="1">
      <c r="A781" s="6"/>
      <c r="B781" s="6"/>
      <c r="C781" s="6"/>
      <c r="D781" s="6"/>
      <c r="E781" s="6"/>
      <c r="F781" s="6"/>
      <c r="G781" s="6"/>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hidden="1">
      <c r="A782" s="6"/>
      <c r="B782" s="6"/>
      <c r="C782" s="6"/>
      <c r="D782" s="6"/>
      <c r="E782" s="6"/>
      <c r="F782" s="6"/>
      <c r="G782" s="6"/>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hidden="1">
      <c r="A783" s="6"/>
      <c r="B783" s="6"/>
      <c r="C783" s="6"/>
      <c r="D783" s="6"/>
      <c r="E783" s="6"/>
      <c r="F783" s="6"/>
      <c r="G783" s="6"/>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hidden="1">
      <c r="A784" s="6"/>
      <c r="B784" s="6"/>
      <c r="C784" s="6"/>
      <c r="D784" s="6"/>
      <c r="E784" s="6"/>
      <c r="F784" s="6"/>
      <c r="G784" s="6"/>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hidden="1">
      <c r="A785" s="6"/>
      <c r="B785" s="6"/>
      <c r="C785" s="6"/>
      <c r="D785" s="6"/>
      <c r="E785" s="6"/>
      <c r="F785" s="6"/>
      <c r="G785" s="6"/>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hidden="1">
      <c r="A786" s="6"/>
      <c r="B786" s="6"/>
      <c r="C786" s="6"/>
      <c r="D786" s="6"/>
      <c r="E786" s="6"/>
      <c r="F786" s="6"/>
      <c r="G786" s="6"/>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hidden="1">
      <c r="A787" s="6"/>
      <c r="B787" s="6"/>
      <c r="C787" s="6"/>
      <c r="D787" s="6"/>
      <c r="E787" s="6"/>
      <c r="F787" s="6"/>
      <c r="G787" s="6"/>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hidden="1">
      <c r="A788" s="6"/>
      <c r="B788" s="6"/>
      <c r="C788" s="6"/>
      <c r="D788" s="6"/>
      <c r="E788" s="6"/>
      <c r="F788" s="6"/>
      <c r="G788" s="6"/>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hidden="1">
      <c r="A789" s="6"/>
      <c r="B789" s="6"/>
      <c r="C789" s="6"/>
      <c r="D789" s="6"/>
      <c r="E789" s="6"/>
      <c r="F789" s="6"/>
      <c r="G789" s="6"/>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hidden="1">
      <c r="A790" s="6"/>
      <c r="B790" s="6"/>
      <c r="C790" s="6"/>
      <c r="D790" s="6"/>
      <c r="E790" s="6"/>
      <c r="F790" s="6"/>
      <c r="G790" s="6"/>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hidden="1">
      <c r="A791" s="6"/>
      <c r="B791" s="6"/>
      <c r="C791" s="6"/>
      <c r="D791" s="6"/>
      <c r="E791" s="6"/>
      <c r="F791" s="6"/>
      <c r="G791" s="6"/>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hidden="1">
      <c r="A792" s="6"/>
      <c r="B792" s="6"/>
      <c r="C792" s="6"/>
      <c r="D792" s="6"/>
      <c r="E792" s="6"/>
      <c r="F792" s="6"/>
      <c r="G792" s="6"/>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hidden="1">
      <c r="A793" s="6"/>
      <c r="B793" s="6"/>
      <c r="C793" s="6"/>
      <c r="D793" s="6"/>
      <c r="E793" s="6"/>
      <c r="F793" s="6"/>
      <c r="G793" s="6"/>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hidden="1">
      <c r="A794" s="6"/>
      <c r="B794" s="6"/>
      <c r="C794" s="6"/>
      <c r="D794" s="6"/>
      <c r="E794" s="6"/>
      <c r="F794" s="6"/>
      <c r="G794" s="6"/>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hidden="1">
      <c r="A795" s="6"/>
      <c r="B795" s="6"/>
      <c r="C795" s="6"/>
      <c r="D795" s="6"/>
      <c r="E795" s="6"/>
      <c r="F795" s="6"/>
      <c r="G795" s="6"/>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hidden="1">
      <c r="A796" s="6"/>
      <c r="B796" s="6"/>
      <c r="C796" s="6"/>
      <c r="D796" s="6"/>
      <c r="E796" s="6"/>
      <c r="F796" s="6"/>
      <c r="G796" s="6"/>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hidden="1">
      <c r="A797" s="6"/>
      <c r="B797" s="6"/>
      <c r="C797" s="6"/>
      <c r="D797" s="6"/>
      <c r="E797" s="6"/>
      <c r="F797" s="6"/>
      <c r="G797" s="6"/>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hidden="1">
      <c r="A798" s="6"/>
      <c r="B798" s="6"/>
      <c r="C798" s="6"/>
      <c r="D798" s="6"/>
      <c r="E798" s="6"/>
      <c r="F798" s="6"/>
      <c r="G798" s="6"/>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hidden="1">
      <c r="A799" s="6"/>
      <c r="B799" s="6"/>
      <c r="C799" s="6"/>
      <c r="D799" s="6"/>
      <c r="E799" s="6"/>
      <c r="F799" s="6"/>
      <c r="G799" s="6"/>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hidden="1">
      <c r="A800" s="6"/>
      <c r="B800" s="6"/>
      <c r="C800" s="6"/>
      <c r="D800" s="6"/>
      <c r="E800" s="6"/>
      <c r="F800" s="6"/>
      <c r="G800" s="6"/>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hidden="1">
      <c r="A801" s="6"/>
      <c r="B801" s="6"/>
      <c r="C801" s="6"/>
      <c r="D801" s="6"/>
      <c r="E801" s="6"/>
      <c r="F801" s="6"/>
      <c r="G801" s="6"/>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hidden="1">
      <c r="A802" s="6"/>
      <c r="B802" s="6"/>
      <c r="C802" s="6"/>
      <c r="D802" s="6"/>
      <c r="E802" s="6"/>
      <c r="F802" s="6"/>
      <c r="G802" s="6"/>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hidden="1">
      <c r="A803" s="6"/>
      <c r="B803" s="6"/>
      <c r="C803" s="6"/>
      <c r="D803" s="6"/>
      <c r="E803" s="6"/>
      <c r="F803" s="6"/>
      <c r="G803" s="6"/>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hidden="1">
      <c r="A804" s="6"/>
      <c r="B804" s="6"/>
      <c r="C804" s="6"/>
      <c r="D804" s="6"/>
      <c r="E804" s="6"/>
      <c r="F804" s="6"/>
      <c r="G804" s="6"/>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hidden="1">
      <c r="A805" s="6"/>
      <c r="B805" s="6"/>
      <c r="C805" s="6"/>
      <c r="D805" s="6"/>
      <c r="E805" s="6"/>
      <c r="F805" s="6"/>
      <c r="G805" s="6"/>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hidden="1">
      <c r="A806" s="6"/>
      <c r="B806" s="6"/>
      <c r="C806" s="6"/>
      <c r="D806" s="6"/>
      <c r="E806" s="6"/>
      <c r="F806" s="6"/>
      <c r="G806" s="6"/>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hidden="1">
      <c r="A807" s="6"/>
      <c r="B807" s="6"/>
      <c r="C807" s="6"/>
      <c r="D807" s="6"/>
      <c r="E807" s="6"/>
      <c r="F807" s="6"/>
      <c r="G807" s="6"/>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hidden="1">
      <c r="A808" s="6"/>
      <c r="B808" s="6"/>
      <c r="C808" s="6"/>
      <c r="D808" s="6"/>
      <c r="E808" s="6"/>
      <c r="F808" s="6"/>
      <c r="G808" s="6"/>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hidden="1">
      <c r="A809" s="6"/>
      <c r="B809" s="6"/>
      <c r="C809" s="6"/>
      <c r="D809" s="6"/>
      <c r="E809" s="6"/>
      <c r="F809" s="6"/>
      <c r="G809" s="6"/>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hidden="1">
      <c r="A810" s="6"/>
      <c r="B810" s="6"/>
      <c r="C810" s="6"/>
      <c r="D810" s="6"/>
      <c r="E810" s="6"/>
      <c r="F810" s="6"/>
      <c r="G810" s="6"/>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hidden="1">
      <c r="A811" s="6"/>
      <c r="B811" s="6"/>
      <c r="C811" s="6"/>
      <c r="D811" s="6"/>
      <c r="E811" s="6"/>
      <c r="F811" s="6"/>
      <c r="G811" s="6"/>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hidden="1">
      <c r="A812" s="6"/>
      <c r="B812" s="6"/>
      <c r="C812" s="6"/>
      <c r="D812" s="6"/>
      <c r="E812" s="6"/>
      <c r="F812" s="6"/>
      <c r="G812" s="6"/>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hidden="1">
      <c r="A813" s="6"/>
      <c r="B813" s="6"/>
      <c r="C813" s="6"/>
      <c r="D813" s="6"/>
      <c r="E813" s="6"/>
      <c r="F813" s="6"/>
      <c r="G813" s="6"/>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hidden="1">
      <c r="A814" s="6"/>
      <c r="B814" s="6"/>
      <c r="C814" s="6"/>
      <c r="D814" s="6"/>
      <c r="E814" s="6"/>
      <c r="F814" s="6"/>
      <c r="G814" s="6"/>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hidden="1">
      <c r="A815" s="6"/>
      <c r="B815" s="6"/>
      <c r="C815" s="6"/>
      <c r="D815" s="6"/>
      <c r="E815" s="6"/>
      <c r="F815" s="6"/>
      <c r="G815" s="6"/>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hidden="1">
      <c r="A816" s="6"/>
      <c r="B816" s="6"/>
      <c r="C816" s="6"/>
      <c r="D816" s="6"/>
      <c r="E816" s="6"/>
      <c r="F816" s="6"/>
      <c r="G816" s="6"/>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hidden="1">
      <c r="A817" s="6"/>
      <c r="B817" s="6"/>
      <c r="C817" s="6"/>
      <c r="D817" s="6"/>
      <c r="E817" s="6"/>
      <c r="F817" s="6"/>
      <c r="G817" s="6"/>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hidden="1">
      <c r="A818" s="6"/>
      <c r="B818" s="6"/>
      <c r="C818" s="6"/>
      <c r="D818" s="6"/>
      <c r="E818" s="6"/>
      <c r="F818" s="6"/>
      <c r="G818" s="6"/>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hidden="1">
      <c r="A819" s="6"/>
      <c r="B819" s="6"/>
      <c r="C819" s="6"/>
      <c r="D819" s="6"/>
      <c r="E819" s="6"/>
      <c r="F819" s="6"/>
      <c r="G819" s="6"/>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hidden="1">
      <c r="A820" s="6"/>
      <c r="B820" s="6"/>
      <c r="C820" s="6"/>
      <c r="D820" s="6"/>
      <c r="E820" s="6"/>
      <c r="F820" s="6"/>
      <c r="G820" s="6"/>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hidden="1">
      <c r="A821" s="6"/>
      <c r="B821" s="6"/>
      <c r="C821" s="6"/>
      <c r="D821" s="6"/>
      <c r="E821" s="6"/>
      <c r="F821" s="6"/>
      <c r="G821" s="6"/>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hidden="1">
      <c r="A822" s="6"/>
      <c r="B822" s="6"/>
      <c r="C822" s="6"/>
      <c r="D822" s="6"/>
      <c r="E822" s="6"/>
      <c r="F822" s="6"/>
      <c r="G822" s="6"/>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hidden="1">
      <c r="A823" s="6"/>
      <c r="B823" s="6"/>
      <c r="C823" s="6"/>
      <c r="D823" s="6"/>
      <c r="E823" s="6"/>
      <c r="F823" s="6"/>
      <c r="G823" s="6"/>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hidden="1">
      <c r="A824" s="6"/>
      <c r="B824" s="6"/>
      <c r="C824" s="6"/>
      <c r="D824" s="6"/>
      <c r="E824" s="6"/>
      <c r="F824" s="6"/>
      <c r="G824" s="6"/>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hidden="1">
      <c r="A825" s="6"/>
      <c r="B825" s="6"/>
      <c r="C825" s="6"/>
      <c r="D825" s="6"/>
      <c r="E825" s="6"/>
      <c r="F825" s="6"/>
      <c r="G825" s="6"/>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hidden="1">
      <c r="A826" s="6"/>
      <c r="B826" s="6"/>
      <c r="C826" s="6"/>
      <c r="D826" s="6"/>
      <c r="E826" s="6"/>
      <c r="F826" s="6"/>
      <c r="G826" s="6"/>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hidden="1">
      <c r="A827" s="6"/>
      <c r="B827" s="6"/>
      <c r="C827" s="6"/>
      <c r="D827" s="6"/>
      <c r="E827" s="6"/>
      <c r="F827" s="6"/>
      <c r="G827" s="6"/>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hidden="1">
      <c r="A828" s="6"/>
      <c r="B828" s="6"/>
      <c r="C828" s="6"/>
      <c r="D828" s="6"/>
      <c r="E828" s="6"/>
      <c r="F828" s="6"/>
      <c r="G828" s="6"/>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hidden="1">
      <c r="A829" s="6"/>
      <c r="B829" s="6"/>
      <c r="C829" s="6"/>
      <c r="D829" s="6"/>
      <c r="E829" s="6"/>
      <c r="F829" s="6"/>
      <c r="G829" s="6"/>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hidden="1">
      <c r="A830" s="6"/>
      <c r="B830" s="6"/>
      <c r="C830" s="6"/>
      <c r="D830" s="6"/>
      <c r="E830" s="6"/>
      <c r="F830" s="6"/>
      <c r="G830" s="6"/>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hidden="1">
      <c r="A831" s="6"/>
      <c r="B831" s="6"/>
      <c r="C831" s="6"/>
      <c r="D831" s="6"/>
      <c r="E831" s="6"/>
      <c r="F831" s="6"/>
      <c r="G831" s="6"/>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hidden="1">
      <c r="A832" s="6"/>
      <c r="B832" s="6"/>
      <c r="C832" s="6"/>
      <c r="D832" s="6"/>
      <c r="E832" s="6"/>
      <c r="F832" s="6"/>
      <c r="G832" s="6"/>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hidden="1">
      <c r="A833" s="6"/>
      <c r="B833" s="6"/>
      <c r="C833" s="6"/>
      <c r="D833" s="6"/>
      <c r="E833" s="6"/>
      <c r="F833" s="6"/>
      <c r="G833" s="6"/>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hidden="1">
      <c r="A834" s="6"/>
      <c r="B834" s="6"/>
      <c r="C834" s="6"/>
      <c r="D834" s="6"/>
      <c r="E834" s="6"/>
      <c r="F834" s="6"/>
      <c r="G834" s="6"/>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hidden="1">
      <c r="A835" s="6"/>
      <c r="B835" s="6"/>
      <c r="C835" s="6"/>
      <c r="D835" s="6"/>
      <c r="E835" s="6"/>
      <c r="F835" s="6"/>
      <c r="G835" s="6"/>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hidden="1">
      <c r="A836" s="6"/>
      <c r="B836" s="6"/>
      <c r="C836" s="6"/>
      <c r="D836" s="6"/>
      <c r="E836" s="6"/>
      <c r="F836" s="6"/>
      <c r="G836" s="6"/>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hidden="1">
      <c r="A837" s="6"/>
      <c r="B837" s="6"/>
      <c r="C837" s="6"/>
      <c r="D837" s="6"/>
      <c r="E837" s="6"/>
      <c r="F837" s="6"/>
      <c r="G837" s="6"/>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hidden="1">
      <c r="A838" s="6"/>
      <c r="B838" s="6"/>
      <c r="C838" s="6"/>
      <c r="D838" s="6"/>
      <c r="E838" s="6"/>
      <c r="F838" s="6"/>
      <c r="G838" s="6"/>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hidden="1">
      <c r="A839" s="6"/>
      <c r="B839" s="6"/>
      <c r="C839" s="6"/>
      <c r="D839" s="6"/>
      <c r="E839" s="6"/>
      <c r="F839" s="6"/>
      <c r="G839" s="6"/>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hidden="1">
      <c r="A840" s="6"/>
      <c r="B840" s="6"/>
      <c r="C840" s="6"/>
      <c r="D840" s="6"/>
      <c r="E840" s="6"/>
      <c r="F840" s="6"/>
      <c r="G840" s="6"/>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hidden="1">
      <c r="A841" s="6"/>
      <c r="B841" s="6"/>
      <c r="C841" s="6"/>
      <c r="D841" s="6"/>
      <c r="E841" s="6"/>
      <c r="F841" s="6"/>
      <c r="G841" s="6"/>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hidden="1">
      <c r="A842" s="6"/>
      <c r="B842" s="6"/>
      <c r="C842" s="6"/>
      <c r="D842" s="6"/>
      <c r="E842" s="6"/>
      <c r="F842" s="6"/>
      <c r="G842" s="6"/>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hidden="1">
      <c r="A843" s="6"/>
      <c r="B843" s="6"/>
      <c r="C843" s="6"/>
      <c r="D843" s="6"/>
      <c r="E843" s="6"/>
      <c r="F843" s="6"/>
      <c r="G843" s="6"/>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hidden="1">
      <c r="A844" s="6"/>
      <c r="B844" s="6"/>
      <c r="C844" s="6"/>
      <c r="D844" s="6"/>
      <c r="E844" s="6"/>
      <c r="F844" s="6"/>
      <c r="G844" s="6"/>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hidden="1">
      <c r="A845" s="6"/>
      <c r="B845" s="6"/>
      <c r="C845" s="6"/>
      <c r="D845" s="6"/>
      <c r="E845" s="6"/>
      <c r="F845" s="6"/>
      <c r="G845" s="6"/>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hidden="1">
      <c r="A846" s="6"/>
      <c r="B846" s="6"/>
      <c r="C846" s="6"/>
      <c r="D846" s="6"/>
      <c r="E846" s="6"/>
      <c r="F846" s="6"/>
      <c r="G846" s="6"/>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hidden="1">
      <c r="A847" s="6"/>
      <c r="B847" s="6"/>
      <c r="C847" s="6"/>
      <c r="D847" s="6"/>
      <c r="E847" s="6"/>
      <c r="F847" s="6"/>
      <c r="G847" s="6"/>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hidden="1">
      <c r="A848" s="6"/>
      <c r="B848" s="6"/>
      <c r="C848" s="6"/>
      <c r="D848" s="6"/>
      <c r="E848" s="6"/>
      <c r="F848" s="6"/>
      <c r="G848" s="6"/>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hidden="1">
      <c r="A849" s="6"/>
      <c r="B849" s="6"/>
      <c r="C849" s="6"/>
      <c r="D849" s="6"/>
      <c r="E849" s="6"/>
      <c r="F849" s="6"/>
      <c r="G849" s="6"/>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hidden="1">
      <c r="A850" s="6"/>
      <c r="B850" s="6"/>
      <c r="C850" s="6"/>
      <c r="D850" s="6"/>
      <c r="E850" s="6"/>
      <c r="F850" s="6"/>
      <c r="G850" s="6"/>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hidden="1">
      <c r="A851" s="6"/>
      <c r="B851" s="6"/>
      <c r="C851" s="6"/>
      <c r="D851" s="6"/>
      <c r="E851" s="6"/>
      <c r="F851" s="6"/>
      <c r="G851" s="6"/>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hidden="1">
      <c r="A852" s="6"/>
      <c r="B852" s="6"/>
      <c r="C852" s="6"/>
      <c r="D852" s="6"/>
      <c r="E852" s="6"/>
      <c r="F852" s="6"/>
      <c r="G852" s="6"/>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hidden="1">
      <c r="A853" s="6"/>
      <c r="B853" s="6"/>
      <c r="C853" s="6"/>
      <c r="D853" s="6"/>
      <c r="E853" s="6"/>
      <c r="F853" s="6"/>
      <c r="G853" s="6"/>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hidden="1">
      <c r="A854" s="6"/>
      <c r="B854" s="6"/>
      <c r="C854" s="6"/>
      <c r="D854" s="6"/>
      <c r="E854" s="6"/>
      <c r="F854" s="6"/>
      <c r="G854" s="6"/>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hidden="1">
      <c r="A855" s="6"/>
      <c r="B855" s="6"/>
      <c r="C855" s="6"/>
      <c r="D855" s="6"/>
      <c r="E855" s="6"/>
      <c r="F855" s="6"/>
      <c r="G855" s="6"/>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hidden="1">
      <c r="A856" s="6"/>
      <c r="B856" s="6"/>
      <c r="C856" s="6"/>
      <c r="D856" s="6"/>
      <c r="E856" s="6"/>
      <c r="F856" s="6"/>
      <c r="G856" s="6"/>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hidden="1">
      <c r="A857" s="6"/>
      <c r="B857" s="6"/>
      <c r="C857" s="6"/>
      <c r="D857" s="6"/>
      <c r="E857" s="6"/>
      <c r="F857" s="6"/>
      <c r="G857" s="6"/>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hidden="1">
      <c r="A858" s="6"/>
      <c r="B858" s="6"/>
      <c r="C858" s="6"/>
      <c r="D858" s="6"/>
      <c r="E858" s="6"/>
      <c r="F858" s="6"/>
      <c r="G858" s="6"/>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hidden="1">
      <c r="A859" s="6"/>
      <c r="B859" s="6"/>
      <c r="C859" s="6"/>
      <c r="D859" s="6"/>
      <c r="E859" s="6"/>
      <c r="F859" s="6"/>
      <c r="G859" s="6"/>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hidden="1">
      <c r="A860" s="6"/>
      <c r="B860" s="6"/>
      <c r="C860" s="6"/>
      <c r="D860" s="6"/>
      <c r="E860" s="6"/>
      <c r="F860" s="6"/>
      <c r="G860" s="6"/>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hidden="1">
      <c r="A861" s="6"/>
      <c r="B861" s="6"/>
      <c r="C861" s="6"/>
      <c r="D861" s="6"/>
      <c r="E861" s="6"/>
      <c r="F861" s="6"/>
      <c r="G861" s="6"/>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hidden="1">
      <c r="A862" s="6"/>
      <c r="B862" s="6"/>
      <c r="C862" s="6"/>
      <c r="D862" s="6"/>
      <c r="E862" s="6"/>
      <c r="F862" s="6"/>
      <c r="G862" s="6"/>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hidden="1">
      <c r="A863" s="6"/>
      <c r="B863" s="6"/>
      <c r="C863" s="6"/>
      <c r="D863" s="6"/>
      <c r="E863" s="6"/>
      <c r="F863" s="6"/>
      <c r="G863" s="6"/>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hidden="1">
      <c r="A864" s="6"/>
      <c r="B864" s="6"/>
      <c r="C864" s="6"/>
      <c r="D864" s="6"/>
      <c r="E864" s="6"/>
      <c r="F864" s="6"/>
      <c r="G864" s="6"/>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hidden="1">
      <c r="A865" s="6"/>
      <c r="B865" s="6"/>
      <c r="C865" s="6"/>
      <c r="D865" s="6"/>
      <c r="E865" s="6"/>
      <c r="F865" s="6"/>
      <c r="G865" s="6"/>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hidden="1">
      <c r="A866" s="6"/>
      <c r="B866" s="6"/>
      <c r="C866" s="6"/>
      <c r="D866" s="6"/>
      <c r="E866" s="6"/>
      <c r="F866" s="6"/>
      <c r="G866" s="6"/>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hidden="1">
      <c r="A867" s="6"/>
      <c r="B867" s="6"/>
      <c r="C867" s="6"/>
      <c r="D867" s="6"/>
      <c r="E867" s="6"/>
      <c r="F867" s="6"/>
      <c r="G867" s="6"/>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hidden="1">
      <c r="A868" s="6"/>
      <c r="B868" s="6"/>
      <c r="C868" s="6"/>
      <c r="D868" s="6"/>
      <c r="E868" s="6"/>
      <c r="F868" s="6"/>
      <c r="G868" s="6"/>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hidden="1">
      <c r="A869" s="6"/>
      <c r="B869" s="6"/>
      <c r="C869" s="6"/>
      <c r="D869" s="6"/>
      <c r="E869" s="6"/>
      <c r="F869" s="6"/>
      <c r="G869" s="6"/>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hidden="1">
      <c r="A870" s="6"/>
      <c r="B870" s="6"/>
      <c r="C870" s="6"/>
      <c r="D870" s="6"/>
      <c r="E870" s="6"/>
      <c r="F870" s="6"/>
      <c r="G870" s="6"/>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hidden="1">
      <c r="A871" s="6"/>
      <c r="B871" s="6"/>
      <c r="C871" s="6"/>
      <c r="D871" s="6"/>
      <c r="E871" s="6"/>
      <c r="F871" s="6"/>
      <c r="G871" s="6"/>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hidden="1">
      <c r="A872" s="6"/>
      <c r="B872" s="6"/>
      <c r="C872" s="6"/>
      <c r="D872" s="6"/>
      <c r="E872" s="6"/>
      <c r="F872" s="6"/>
      <c r="G872" s="6"/>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hidden="1">
      <c r="A873" s="6"/>
      <c r="B873" s="6"/>
      <c r="C873" s="6"/>
      <c r="D873" s="6"/>
      <c r="E873" s="6"/>
      <c r="F873" s="6"/>
      <c r="G873" s="6"/>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hidden="1">
      <c r="A874" s="6"/>
      <c r="B874" s="6"/>
      <c r="C874" s="6"/>
      <c r="D874" s="6"/>
      <c r="E874" s="6"/>
      <c r="F874" s="6"/>
      <c r="G874" s="6"/>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hidden="1">
      <c r="A875" s="6"/>
      <c r="B875" s="6"/>
      <c r="C875" s="6"/>
      <c r="D875" s="6"/>
      <c r="E875" s="6"/>
      <c r="F875" s="6"/>
      <c r="G875" s="6"/>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hidden="1">
      <c r="A876" s="6"/>
      <c r="B876" s="6"/>
      <c r="C876" s="6"/>
      <c r="D876" s="6"/>
      <c r="E876" s="6"/>
      <c r="F876" s="6"/>
      <c r="G876" s="6"/>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hidden="1">
      <c r="A877" s="6"/>
      <c r="B877" s="6"/>
      <c r="C877" s="6"/>
      <c r="D877" s="6"/>
      <c r="E877" s="6"/>
      <c r="F877" s="6"/>
      <c r="G877" s="6"/>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hidden="1">
      <c r="A878" s="6"/>
      <c r="B878" s="6"/>
      <c r="C878" s="6"/>
      <c r="D878" s="6"/>
      <c r="E878" s="6"/>
      <c r="F878" s="6"/>
      <c r="G878" s="6"/>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hidden="1">
      <c r="A879" s="6"/>
      <c r="B879" s="6"/>
      <c r="C879" s="6"/>
      <c r="D879" s="6"/>
      <c r="E879" s="6"/>
      <c r="F879" s="6"/>
      <c r="G879" s="6"/>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hidden="1">
      <c r="A880" s="6"/>
      <c r="B880" s="6"/>
      <c r="C880" s="6"/>
      <c r="D880" s="6"/>
      <c r="E880" s="6"/>
      <c r="F880" s="6"/>
      <c r="G880" s="6"/>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hidden="1">
      <c r="A881" s="6"/>
      <c r="B881" s="6"/>
      <c r="C881" s="6"/>
      <c r="D881" s="6"/>
      <c r="E881" s="6"/>
      <c r="F881" s="6"/>
      <c r="G881" s="6"/>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hidden="1">
      <c r="A882" s="6"/>
      <c r="B882" s="6"/>
      <c r="C882" s="6"/>
      <c r="D882" s="6"/>
      <c r="E882" s="6"/>
      <c r="F882" s="6"/>
      <c r="G882" s="6"/>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hidden="1">
      <c r="A883" s="6"/>
      <c r="B883" s="6"/>
      <c r="C883" s="6"/>
      <c r="D883" s="6"/>
      <c r="E883" s="6"/>
      <c r="F883" s="6"/>
      <c r="G883" s="6"/>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hidden="1">
      <c r="A884" s="6"/>
      <c r="B884" s="6"/>
      <c r="C884" s="6"/>
      <c r="D884" s="6"/>
      <c r="E884" s="6"/>
      <c r="F884" s="6"/>
      <c r="G884" s="6"/>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hidden="1">
      <c r="A885" s="6"/>
      <c r="B885" s="6"/>
      <c r="C885" s="6"/>
      <c r="D885" s="6"/>
      <c r="E885" s="6"/>
      <c r="F885" s="6"/>
      <c r="G885" s="6"/>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hidden="1">
      <c r="A886" s="6"/>
      <c r="B886" s="6"/>
      <c r="C886" s="6"/>
      <c r="D886" s="6"/>
      <c r="E886" s="6"/>
      <c r="F886" s="6"/>
      <c r="G886" s="6"/>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hidden="1">
      <c r="A887" s="6"/>
      <c r="B887" s="6"/>
      <c r="C887" s="6"/>
      <c r="D887" s="6"/>
      <c r="E887" s="6"/>
      <c r="F887" s="6"/>
      <c r="G887" s="6"/>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hidden="1">
      <c r="A888" s="6"/>
      <c r="B888" s="6"/>
      <c r="C888" s="6"/>
      <c r="D888" s="6"/>
      <c r="E888" s="6"/>
      <c r="F888" s="6"/>
      <c r="G888" s="6"/>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hidden="1">
      <c r="A889" s="6"/>
      <c r="B889" s="6"/>
      <c r="C889" s="6"/>
      <c r="D889" s="6"/>
      <c r="E889" s="6"/>
      <c r="F889" s="6"/>
      <c r="G889" s="6"/>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hidden="1">
      <c r="A890" s="6"/>
      <c r="B890" s="6"/>
      <c r="C890" s="6"/>
      <c r="D890" s="6"/>
      <c r="E890" s="6"/>
      <c r="F890" s="6"/>
      <c r="G890" s="6"/>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hidden="1">
      <c r="A891" s="6"/>
      <c r="B891" s="6"/>
      <c r="C891" s="6"/>
      <c r="D891" s="6"/>
      <c r="E891" s="6"/>
      <c r="F891" s="6"/>
      <c r="G891" s="6"/>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hidden="1">
      <c r="A892" s="6"/>
      <c r="B892" s="6"/>
      <c r="C892" s="6"/>
      <c r="D892" s="6"/>
      <c r="E892" s="6"/>
      <c r="F892" s="6"/>
      <c r="G892" s="6"/>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hidden="1">
      <c r="A893" s="6"/>
      <c r="B893" s="6"/>
      <c r="C893" s="6"/>
      <c r="D893" s="6"/>
      <c r="E893" s="6"/>
      <c r="F893" s="6"/>
      <c r="G893" s="6"/>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hidden="1">
      <c r="A894" s="6"/>
      <c r="B894" s="6"/>
      <c r="C894" s="6"/>
      <c r="D894" s="6"/>
      <c r="E894" s="6"/>
      <c r="F894" s="6"/>
      <c r="G894" s="6"/>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hidden="1">
      <c r="A895" s="6"/>
      <c r="B895" s="6"/>
      <c r="C895" s="6"/>
      <c r="D895" s="6"/>
      <c r="E895" s="6"/>
      <c r="F895" s="6"/>
      <c r="G895" s="6"/>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hidden="1">
      <c r="A896" s="6"/>
      <c r="B896" s="6"/>
      <c r="C896" s="6"/>
      <c r="D896" s="6"/>
      <c r="E896" s="6"/>
      <c r="F896" s="6"/>
      <c r="G896" s="6"/>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hidden="1">
      <c r="A897" s="6"/>
      <c r="B897" s="6"/>
      <c r="C897" s="6"/>
      <c r="D897" s="6"/>
      <c r="E897" s="6"/>
      <c r="F897" s="6"/>
      <c r="G897" s="6"/>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hidden="1">
      <c r="A898" s="6"/>
      <c r="B898" s="6"/>
      <c r="C898" s="6"/>
      <c r="D898" s="6"/>
      <c r="E898" s="6"/>
      <c r="F898" s="6"/>
      <c r="G898" s="6"/>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hidden="1">
      <c r="A899" s="6"/>
      <c r="B899" s="6"/>
      <c r="C899" s="6"/>
      <c r="D899" s="6"/>
      <c r="E899" s="6"/>
      <c r="F899" s="6"/>
      <c r="G899" s="6"/>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hidden="1">
      <c r="A900" s="6"/>
      <c r="B900" s="6"/>
      <c r="C900" s="6"/>
      <c r="D900" s="6"/>
      <c r="E900" s="6"/>
      <c r="F900" s="6"/>
      <c r="G900" s="6"/>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hidden="1">
      <c r="A901" s="6"/>
      <c r="B901" s="6"/>
      <c r="C901" s="6"/>
      <c r="D901" s="6"/>
      <c r="E901" s="6"/>
      <c r="F901" s="6"/>
      <c r="G901" s="6"/>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hidden="1">
      <c r="A902" s="6"/>
      <c r="B902" s="6"/>
      <c r="C902" s="6"/>
      <c r="D902" s="6"/>
      <c r="E902" s="6"/>
      <c r="F902" s="6"/>
      <c r="G902" s="6"/>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hidden="1">
      <c r="A903" s="6"/>
      <c r="B903" s="6"/>
      <c r="C903" s="6"/>
      <c r="D903" s="6"/>
      <c r="E903" s="6"/>
      <c r="F903" s="6"/>
      <c r="G903" s="6"/>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hidden="1">
      <c r="A904" s="6"/>
      <c r="B904" s="6"/>
      <c r="C904" s="6"/>
      <c r="D904" s="6"/>
      <c r="E904" s="6"/>
      <c r="F904" s="6"/>
      <c r="G904" s="6"/>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hidden="1">
      <c r="A905" s="6"/>
      <c r="B905" s="6"/>
      <c r="C905" s="6"/>
      <c r="D905" s="6"/>
      <c r="E905" s="6"/>
      <c r="F905" s="6"/>
      <c r="G905" s="6"/>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hidden="1">
      <c r="A906" s="6"/>
      <c r="B906" s="6"/>
      <c r="C906" s="6"/>
      <c r="D906" s="6"/>
      <c r="E906" s="6"/>
      <c r="F906" s="6"/>
      <c r="G906" s="6"/>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hidden="1">
      <c r="A907" s="6"/>
      <c r="B907" s="6"/>
      <c r="C907" s="6"/>
      <c r="D907" s="6"/>
      <c r="E907" s="6"/>
      <c r="F907" s="6"/>
      <c r="G907" s="6"/>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hidden="1">
      <c r="A908" s="6"/>
      <c r="B908" s="6"/>
      <c r="C908" s="6"/>
      <c r="D908" s="6"/>
      <c r="E908" s="6"/>
      <c r="F908" s="6"/>
      <c r="G908" s="6"/>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hidden="1">
      <c r="A909" s="6"/>
      <c r="B909" s="6"/>
      <c r="C909" s="6"/>
      <c r="D909" s="6"/>
      <c r="E909" s="6"/>
      <c r="F909" s="6"/>
      <c r="G909" s="6"/>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hidden="1">
      <c r="A910" s="6"/>
      <c r="B910" s="6"/>
      <c r="C910" s="6"/>
      <c r="D910" s="6"/>
      <c r="E910" s="6"/>
      <c r="F910" s="6"/>
      <c r="G910" s="6"/>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hidden="1">
      <c r="A911" s="6"/>
      <c r="B911" s="6"/>
      <c r="C911" s="6"/>
      <c r="D911" s="6"/>
      <c r="E911" s="6"/>
      <c r="F911" s="6"/>
      <c r="G911" s="6"/>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hidden="1">
      <c r="A912" s="6"/>
      <c r="B912" s="6"/>
      <c r="C912" s="6"/>
      <c r="D912" s="6"/>
      <c r="E912" s="6"/>
      <c r="F912" s="6"/>
      <c r="G912" s="6"/>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hidden="1">
      <c r="A913" s="6"/>
      <c r="B913" s="6"/>
      <c r="C913" s="6"/>
      <c r="D913" s="6"/>
      <c r="E913" s="6"/>
      <c r="F913" s="6"/>
      <c r="G913" s="6"/>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hidden="1">
      <c r="A914" s="6"/>
      <c r="B914" s="6"/>
      <c r="C914" s="6"/>
      <c r="D914" s="6"/>
      <c r="E914" s="6"/>
      <c r="F914" s="6"/>
      <c r="G914" s="6"/>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hidden="1">
      <c r="A915" s="6"/>
      <c r="B915" s="6"/>
      <c r="C915" s="6"/>
      <c r="D915" s="6"/>
      <c r="E915" s="6"/>
      <c r="F915" s="6"/>
      <c r="G915" s="6"/>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hidden="1">
      <c r="A916" s="6"/>
      <c r="B916" s="6"/>
      <c r="C916" s="6"/>
      <c r="D916" s="6"/>
      <c r="E916" s="6"/>
      <c r="F916" s="6"/>
      <c r="G916" s="6"/>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hidden="1">
      <c r="A917" s="6"/>
      <c r="B917" s="6"/>
      <c r="C917" s="6"/>
      <c r="D917" s="6"/>
      <c r="E917" s="6"/>
      <c r="F917" s="6"/>
      <c r="G917" s="6"/>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hidden="1">
      <c r="A918" s="6"/>
      <c r="B918" s="6"/>
      <c r="C918" s="6"/>
      <c r="D918" s="6"/>
      <c r="E918" s="6"/>
      <c r="F918" s="6"/>
      <c r="G918" s="6"/>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hidden="1">
      <c r="A919" s="6"/>
      <c r="B919" s="6"/>
      <c r="C919" s="6"/>
      <c r="D919" s="6"/>
      <c r="E919" s="6"/>
      <c r="F919" s="6"/>
      <c r="G919" s="6"/>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hidden="1">
      <c r="A920" s="6"/>
      <c r="B920" s="6"/>
      <c r="C920" s="6"/>
      <c r="D920" s="6"/>
      <c r="E920" s="6"/>
      <c r="F920" s="6"/>
      <c r="G920" s="6"/>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hidden="1">
      <c r="A921" s="6"/>
      <c r="B921" s="6"/>
      <c r="C921" s="6"/>
      <c r="D921" s="6"/>
      <c r="E921" s="6"/>
      <c r="F921" s="6"/>
      <c r="G921" s="6"/>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hidden="1">
      <c r="A922" s="6"/>
      <c r="B922" s="6"/>
      <c r="C922" s="6"/>
      <c r="D922" s="6"/>
      <c r="E922" s="6"/>
      <c r="F922" s="6"/>
      <c r="G922" s="6"/>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hidden="1">
      <c r="A923" s="6"/>
      <c r="B923" s="6"/>
      <c r="C923" s="6"/>
      <c r="D923" s="6"/>
      <c r="E923" s="6"/>
      <c r="F923" s="6"/>
      <c r="G923" s="6"/>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hidden="1">
      <c r="A924" s="6"/>
      <c r="B924" s="6"/>
      <c r="C924" s="6"/>
      <c r="D924" s="6"/>
      <c r="E924" s="6"/>
      <c r="F924" s="6"/>
      <c r="G924" s="6"/>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hidden="1">
      <c r="A925" s="6"/>
      <c r="B925" s="6"/>
      <c r="C925" s="6"/>
      <c r="D925" s="6"/>
      <c r="E925" s="6"/>
      <c r="F925" s="6"/>
      <c r="G925" s="6"/>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hidden="1">
      <c r="A926" s="6"/>
      <c r="B926" s="6"/>
      <c r="C926" s="6"/>
      <c r="D926" s="6"/>
      <c r="E926" s="6"/>
      <c r="F926" s="6"/>
      <c r="G926" s="6"/>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hidden="1">
      <c r="A927" s="6"/>
      <c r="B927" s="6"/>
      <c r="C927" s="6"/>
      <c r="D927" s="6"/>
      <c r="E927" s="6"/>
      <c r="F927" s="6"/>
      <c r="G927" s="6"/>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hidden="1">
      <c r="A928" s="6"/>
      <c r="B928" s="6"/>
      <c r="C928" s="6"/>
      <c r="D928" s="6"/>
      <c r="E928" s="6"/>
      <c r="F928" s="6"/>
      <c r="G928" s="6"/>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hidden="1">
      <c r="A929" s="6"/>
      <c r="B929" s="6"/>
      <c r="C929" s="6"/>
      <c r="D929" s="6"/>
      <c r="E929" s="6"/>
      <c r="F929" s="6"/>
      <c r="G929" s="6"/>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hidden="1">
      <c r="A930" s="6"/>
      <c r="B930" s="6"/>
      <c r="C930" s="6"/>
      <c r="D930" s="6"/>
      <c r="E930" s="6"/>
      <c r="F930" s="6"/>
      <c r="G930" s="6"/>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hidden="1">
      <c r="A931" s="6"/>
      <c r="B931" s="6"/>
      <c r="C931" s="6"/>
      <c r="D931" s="6"/>
      <c r="E931" s="6"/>
      <c r="F931" s="6"/>
      <c r="G931" s="6"/>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hidden="1">
      <c r="A932" s="6"/>
      <c r="B932" s="6"/>
      <c r="C932" s="6"/>
      <c r="D932" s="6"/>
      <c r="E932" s="6"/>
      <c r="F932" s="6"/>
      <c r="G932" s="6"/>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hidden="1">
      <c r="A933" s="6"/>
      <c r="B933" s="6"/>
      <c r="C933" s="6"/>
      <c r="D933" s="6"/>
      <c r="E933" s="6"/>
      <c r="F933" s="6"/>
      <c r="G933" s="6"/>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hidden="1">
      <c r="A934" s="6"/>
      <c r="B934" s="6"/>
      <c r="C934" s="6"/>
      <c r="D934" s="6"/>
      <c r="E934" s="6"/>
      <c r="F934" s="6"/>
      <c r="G934" s="6"/>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hidden="1">
      <c r="A935" s="6"/>
      <c r="B935" s="6"/>
      <c r="C935" s="6"/>
      <c r="D935" s="6"/>
      <c r="E935" s="6"/>
      <c r="F935" s="6"/>
      <c r="G935" s="6"/>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hidden="1">
      <c r="A936" s="6"/>
      <c r="B936" s="6"/>
      <c r="C936" s="6"/>
      <c r="D936" s="6"/>
      <c r="E936" s="6"/>
      <c r="F936" s="6"/>
      <c r="G936" s="6"/>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hidden="1">
      <c r="A937" s="6"/>
      <c r="B937" s="6"/>
      <c r="C937" s="6"/>
      <c r="D937" s="6"/>
      <c r="E937" s="6"/>
      <c r="F937" s="6"/>
      <c r="G937" s="6"/>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hidden="1">
      <c r="A938" s="6"/>
      <c r="B938" s="6"/>
      <c r="C938" s="6"/>
      <c r="D938" s="6"/>
      <c r="E938" s="6"/>
      <c r="F938" s="6"/>
      <c r="G938" s="6"/>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hidden="1">
      <c r="A939" s="6"/>
      <c r="B939" s="6"/>
      <c r="C939" s="6"/>
      <c r="D939" s="6"/>
      <c r="E939" s="6"/>
      <c r="F939" s="6"/>
      <c r="G939" s="6"/>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hidden="1">
      <c r="A940" s="6"/>
      <c r="B940" s="6"/>
      <c r="C940" s="6"/>
      <c r="D940" s="6"/>
      <c r="E940" s="6"/>
      <c r="F940" s="6"/>
      <c r="G940" s="6"/>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hidden="1">
      <c r="A941" s="6"/>
      <c r="B941" s="6"/>
      <c r="C941" s="6"/>
      <c r="D941" s="6"/>
      <c r="E941" s="6"/>
      <c r="F941" s="6"/>
      <c r="G941" s="6"/>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hidden="1">
      <c r="A942" s="6"/>
      <c r="B942" s="6"/>
      <c r="C942" s="6"/>
      <c r="D942" s="6"/>
      <c r="E942" s="6"/>
      <c r="F942" s="6"/>
      <c r="G942" s="6"/>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hidden="1">
      <c r="A943" s="6"/>
      <c r="B943" s="6"/>
      <c r="C943" s="6"/>
      <c r="D943" s="6"/>
      <c r="E943" s="6"/>
      <c r="F943" s="6"/>
      <c r="G943" s="6"/>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hidden="1">
      <c r="A944" s="6"/>
      <c r="B944" s="6"/>
      <c r="C944" s="6"/>
      <c r="D944" s="6"/>
      <c r="E944" s="6"/>
      <c r="F944" s="6"/>
      <c r="G944" s="6"/>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hidden="1">
      <c r="A945" s="6"/>
      <c r="B945" s="6"/>
      <c r="C945" s="6"/>
      <c r="D945" s="6"/>
      <c r="E945" s="6"/>
      <c r="F945" s="6"/>
      <c r="G945" s="6"/>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hidden="1">
      <c r="A946" s="6"/>
      <c r="B946" s="6"/>
      <c r="C946" s="6"/>
      <c r="D946" s="6"/>
      <c r="E946" s="6"/>
      <c r="F946" s="6"/>
      <c r="G946" s="6"/>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hidden="1">
      <c r="A947" s="6"/>
      <c r="B947" s="6"/>
      <c r="C947" s="6"/>
      <c r="D947" s="6"/>
      <c r="E947" s="6"/>
      <c r="F947" s="6"/>
      <c r="G947" s="6"/>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hidden="1">
      <c r="A948" s="6"/>
      <c r="B948" s="6"/>
      <c r="C948" s="6"/>
      <c r="D948" s="6"/>
      <c r="E948" s="6"/>
      <c r="F948" s="6"/>
      <c r="G948" s="6"/>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hidden="1">
      <c r="A949" s="6"/>
      <c r="B949" s="6"/>
      <c r="C949" s="6"/>
      <c r="D949" s="6"/>
      <c r="E949" s="6"/>
      <c r="F949" s="6"/>
      <c r="G949" s="6"/>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hidden="1">
      <c r="A950" s="6"/>
      <c r="B950" s="6"/>
      <c r="C950" s="6"/>
      <c r="D950" s="6"/>
      <c r="E950" s="6"/>
      <c r="F950" s="6"/>
      <c r="G950" s="6"/>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hidden="1">
      <c r="A951" s="6"/>
      <c r="B951" s="6"/>
      <c r="C951" s="6"/>
      <c r="D951" s="6"/>
      <c r="E951" s="6"/>
      <c r="F951" s="6"/>
      <c r="G951" s="6"/>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hidden="1">
      <c r="A952" s="6"/>
      <c r="B952" s="6"/>
      <c r="C952" s="6"/>
      <c r="D952" s="6"/>
      <c r="E952" s="6"/>
      <c r="F952" s="6"/>
      <c r="G952" s="6"/>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hidden="1">
      <c r="A953" s="6"/>
      <c r="B953" s="6"/>
      <c r="C953" s="6"/>
      <c r="D953" s="6"/>
      <c r="E953" s="6"/>
      <c r="F953" s="6"/>
      <c r="G953" s="6"/>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hidden="1">
      <c r="A954" s="6"/>
      <c r="B954" s="6"/>
      <c r="C954" s="6"/>
      <c r="D954" s="6"/>
      <c r="E954" s="6"/>
      <c r="F954" s="6"/>
      <c r="G954" s="6"/>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hidden="1">
      <c r="A955" s="6"/>
      <c r="B955" s="6"/>
      <c r="C955" s="6"/>
      <c r="D955" s="6"/>
      <c r="E955" s="6"/>
      <c r="F955" s="6"/>
      <c r="G955" s="6"/>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hidden="1">
      <c r="A956" s="6"/>
      <c r="B956" s="6"/>
      <c r="C956" s="6"/>
      <c r="D956" s="6"/>
      <c r="E956" s="6"/>
      <c r="F956" s="6"/>
      <c r="G956" s="6"/>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hidden="1">
      <c r="A957" s="6"/>
      <c r="B957" s="6"/>
      <c r="C957" s="6"/>
      <c r="D957" s="6"/>
      <c r="E957" s="6"/>
      <c r="F957" s="6"/>
      <c r="G957" s="6"/>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hidden="1">
      <c r="A958" s="6"/>
      <c r="B958" s="6"/>
      <c r="C958" s="6"/>
      <c r="D958" s="6"/>
      <c r="E958" s="6"/>
      <c r="F958" s="6"/>
      <c r="G958" s="6"/>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hidden="1">
      <c r="A959" s="6"/>
      <c r="B959" s="6"/>
      <c r="C959" s="6"/>
      <c r="D959" s="6"/>
      <c r="E959" s="6"/>
      <c r="F959" s="6"/>
      <c r="G959" s="6"/>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hidden="1">
      <c r="A960" s="6"/>
      <c r="B960" s="6"/>
      <c r="C960" s="6"/>
      <c r="D960" s="6"/>
      <c r="E960" s="6"/>
      <c r="F960" s="6"/>
      <c r="G960" s="6"/>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hidden="1">
      <c r="A961" s="6"/>
      <c r="B961" s="6"/>
      <c r="C961" s="6"/>
      <c r="D961" s="6"/>
      <c r="E961" s="6"/>
      <c r="F961" s="6"/>
      <c r="G961" s="6"/>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hidden="1">
      <c r="A962" s="6"/>
      <c r="B962" s="6"/>
      <c r="C962" s="6"/>
      <c r="D962" s="6"/>
      <c r="E962" s="6"/>
      <c r="F962" s="6"/>
      <c r="G962" s="6"/>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hidden="1">
      <c r="A963" s="6"/>
      <c r="B963" s="6"/>
      <c r="C963" s="6"/>
      <c r="D963" s="6"/>
      <c r="E963" s="6"/>
      <c r="F963" s="6"/>
      <c r="G963" s="6"/>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hidden="1">
      <c r="A964" s="6"/>
      <c r="B964" s="6"/>
      <c r="C964" s="6"/>
      <c r="D964" s="6"/>
      <c r="E964" s="6"/>
      <c r="F964" s="6"/>
      <c r="G964" s="6"/>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hidden="1">
      <c r="A965" s="6"/>
      <c r="B965" s="6"/>
      <c r="C965" s="6"/>
      <c r="D965" s="6"/>
      <c r="E965" s="6"/>
      <c r="F965" s="6"/>
      <c r="G965" s="6"/>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hidden="1">
      <c r="A966" s="6"/>
      <c r="B966" s="6"/>
      <c r="C966" s="6"/>
      <c r="D966" s="6"/>
      <c r="E966" s="6"/>
      <c r="F966" s="6"/>
      <c r="G966" s="6"/>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hidden="1">
      <c r="A967" s="6"/>
      <c r="B967" s="6"/>
      <c r="C967" s="6"/>
      <c r="E967" s="6"/>
      <c r="F967" s="6"/>
      <c r="G967" s="6"/>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hidden="1">
      <c r="A968" s="6"/>
      <c r="B968" s="6"/>
      <c r="C968" s="6"/>
      <c r="E968" s="6"/>
      <c r="F968" s="6"/>
      <c r="G968" s="6"/>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hidden="1">
      <c r="A969" s="6"/>
      <c r="B969" s="6"/>
      <c r="C969" s="6"/>
      <c r="E969" s="6"/>
      <c r="F969" s="6"/>
      <c r="G969" s="6"/>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hidden="1">
      <c r="A970" s="6"/>
      <c r="B970" s="6"/>
      <c r="C970" s="6"/>
      <c r="E970" s="6"/>
      <c r="F970" s="6"/>
      <c r="G970" s="6"/>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hidden="1">
      <c r="A971" s="6"/>
      <c r="B971" s="6"/>
      <c r="C971" s="6"/>
      <c r="E971" s="6"/>
      <c r="F971" s="6"/>
      <c r="G971" s="6"/>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hidden="1">
      <c r="A972" s="6"/>
      <c r="B972" s="6"/>
      <c r="C972" s="6"/>
      <c r="E972" s="6"/>
      <c r="F972" s="6"/>
      <c r="G972" s="6"/>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hidden="1">
      <c r="A973" s="6"/>
      <c r="B973" s="6"/>
      <c r="C973" s="6"/>
      <c r="E973" s="6"/>
      <c r="F973" s="6"/>
      <c r="G973" s="6"/>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hidden="1">
      <c r="A974" s="6"/>
      <c r="B974" s="6"/>
      <c r="C974" s="6"/>
      <c r="E974" s="6"/>
      <c r="F974" s="6"/>
      <c r="G974" s="6"/>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hidden="1">
      <c r="A975" s="6"/>
      <c r="B975" s="6"/>
      <c r="C975" s="6"/>
      <c r="E975" s="6"/>
      <c r="F975" s="6"/>
      <c r="G975" s="6"/>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hidden="1">
      <c r="A976" s="6"/>
      <c r="B976" s="6"/>
      <c r="C976" s="6"/>
      <c r="E976" s="6"/>
      <c r="F976" s="6"/>
      <c r="G976" s="6"/>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hidden="1">
      <c r="A977" s="6"/>
      <c r="B977" s="6"/>
      <c r="C977" s="6"/>
      <c r="E977" s="6"/>
      <c r="F977" s="6"/>
      <c r="G977" s="6"/>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hidden="1">
      <c r="A978" s="6"/>
      <c r="B978" s="6"/>
      <c r="C978" s="6"/>
      <c r="E978" s="6"/>
      <c r="F978" s="6"/>
      <c r="G978" s="6"/>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hidden="1">
      <c r="A979" s="6"/>
      <c r="B979" s="6"/>
      <c r="C979" s="6"/>
      <c r="E979" s="6"/>
      <c r="F979" s="6"/>
      <c r="G979" s="6"/>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hidden="1">
      <c r="A980" s="6"/>
      <c r="B980" s="6"/>
      <c r="C980" s="6"/>
      <c r="E980" s="6"/>
      <c r="F980" s="6"/>
      <c r="G980" s="6"/>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hidden="1">
      <c r="A981" s="6"/>
      <c r="B981" s="6"/>
      <c r="C981" s="6"/>
      <c r="E981" s="6"/>
      <c r="F981" s="6"/>
      <c r="G981" s="6"/>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hidden="1">
      <c r="A982" s="6"/>
      <c r="B982" s="6"/>
      <c r="C982" s="6"/>
      <c r="E982" s="6"/>
      <c r="F982" s="6"/>
      <c r="G982" s="6"/>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hidden="1">
      <c r="A983" s="6"/>
      <c r="B983" s="6"/>
      <c r="C983" s="6"/>
      <c r="E983" s="6"/>
      <c r="F983" s="6"/>
      <c r="G983" s="6"/>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hidden="1">
      <c r="A984" s="6"/>
      <c r="B984" s="6"/>
      <c r="C984" s="6"/>
      <c r="E984" s="6"/>
      <c r="F984" s="6"/>
      <c r="G984" s="6"/>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hidden="1">
      <c r="A985" s="6"/>
      <c r="B985" s="6"/>
      <c r="C985" s="6"/>
      <c r="E985" s="6"/>
      <c r="F985" s="6"/>
      <c r="G985" s="6"/>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hidden="1">
      <c r="A986" s="6"/>
      <c r="B986" s="6"/>
      <c r="C986" s="6"/>
      <c r="E986" s="6"/>
      <c r="F986" s="6"/>
      <c r="G986" s="6"/>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hidden="1">
      <c r="A987" s="6"/>
      <c r="B987" s="6"/>
      <c r="C987" s="6"/>
      <c r="E987" s="6"/>
      <c r="F987" s="6"/>
      <c r="G987" s="6"/>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hidden="1">
      <c r="A988" s="18"/>
      <c r="B988" s="18"/>
      <c r="C988" s="18"/>
      <c r="E988" s="6"/>
      <c r="F988" s="6"/>
      <c r="G988" s="6"/>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hidden="1">
      <c r="A989" s="18"/>
      <c r="B989" s="18"/>
      <c r="C989" s="18"/>
      <c r="E989" s="6"/>
      <c r="F989" s="6"/>
      <c r="G989" s="6"/>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hidden="1">
      <c r="A990" s="18"/>
      <c r="B990" s="18"/>
      <c r="C990" s="18"/>
      <c r="E990" s="6"/>
      <c r="F990" s="6"/>
      <c r="G990" s="6"/>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hidden="1">
      <c r="A991" s="18"/>
      <c r="B991" s="18"/>
      <c r="C991" s="18"/>
      <c r="E991" s="6"/>
      <c r="F991" s="6"/>
      <c r="G991" s="6"/>
      <c r="H991" s="18"/>
      <c r="I991" s="18"/>
      <c r="J991" s="18"/>
      <c r="K991" s="18"/>
      <c r="L991" s="18"/>
      <c r="M991" s="18"/>
      <c r="N991" s="18"/>
      <c r="O991" s="18"/>
      <c r="P991" s="18"/>
      <c r="Q991" s="18"/>
      <c r="R991" s="18"/>
      <c r="S991" s="18"/>
      <c r="T991" s="18"/>
      <c r="U991" s="18"/>
      <c r="V991" s="18"/>
      <c r="W991" s="18"/>
      <c r="X991" s="18"/>
      <c r="Y991" s="18"/>
      <c r="Z991" s="18"/>
      <c r="AA991" s="18"/>
      <c r="AB991" s="18"/>
      <c r="AC991" s="18"/>
    </row>
  </sheetData>
  <autoFilter ref="$A$1:$G$991">
    <filterColumn colId="0">
      <filters>
        <filter val="Maryland"/>
      </filters>
    </filterColumn>
    <sortState ref="A1:G991">
      <sortCondition ref="G1:G991"/>
      <sortCondition ref="F1:F991"/>
    </sortState>
  </autoFilter>
  <conditionalFormatting sqref="A95:C106 A169:A183 B169:B232 C169:C183 D169 A194:A232 C194:C230 D231 C232">
    <cfRule type="expression" dxfId="0" priority="1">
      <formula>AND(   I95&lt;&gt;"", J95&lt;&gt;"", L95&lt;&gt;"", M95&lt;&gt;"", N95&lt;&gt;"", O95&lt;&gt;"", P95&lt;&gt;"", Q95&lt;&gt;"", R95&lt;&gt;"", T95&lt;&gt;"", U95&lt;&gt;"", V95&lt;&gt;"",   OR(     (I95+J95)&lt;&gt;(L95+M95+N95+O95+P95+Q95+R95),     (I95+J95)&lt;&gt;(T95+U95+V95)   ) )</formula>
    </cfRule>
  </conditionalFormatting>
  <drawing r:id="rId1"/>
</worksheet>
</file>